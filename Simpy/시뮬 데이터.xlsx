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6617b4752664bd/바탕 화면/"/>
    </mc:Choice>
  </mc:AlternateContent>
  <xr:revisionPtr revIDLastSave="79" documentId="8_{7AFDA8CC-2068-4539-A6CC-69F5426B0B24}" xr6:coauthVersionLast="47" xr6:coauthVersionMax="47" xr10:uidLastSave="{B1C5B38D-1701-422F-8DD9-5ADEF22360C6}"/>
  <bookViews>
    <workbookView xWindow="-110" yWindow="-110" windowWidth="25820" windowHeight="16220" tabRatio="588" xr2:uid="{335CC04B-596C-4955-8A9A-771286D36633}"/>
  </bookViews>
  <sheets>
    <sheet name="표2" sheetId="2" r:id="rId1"/>
  </sheets>
  <definedNames>
    <definedName name="ExternalData_1" localSheetId="0" hidden="1">'표2'!$A$2:$G$61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R3" i="2"/>
  <c r="Q3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227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149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F71" i="2"/>
  <c r="E71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EFAE0D-8D24-4093-AF80-9F6C1C09C3B6}" keepAlive="1" name="쿼리 - 표1" description="통합 문서의 '표1' 쿼리에 대한 연결입니다." type="5" refreshedVersion="0" background="1" saveData="1">
    <dbPr connection="Provider=Microsoft.Mashup.OleDb.1;Data Source=$Workbook$;Location=표1;Extended Properties=&quot;&quot;" command="SELECT * FROM [표1]"/>
  </connection>
  <connection id="2" xr16:uid="{A9089AF4-E716-491A-8B01-41F859B4093B}" keepAlive="1" name="쿼리 - 표10" description="통합 문서의 '표10' 쿼리에 대한 연결입니다." type="5" refreshedVersion="0" background="1" saveData="1">
    <dbPr connection="Provider=Microsoft.Mashup.OleDb.1;Data Source=$Workbook$;Location=표10;Extended Properties=&quot;&quot;" command="SELECT * FROM [표10]"/>
  </connection>
  <connection id="3" xr16:uid="{406035C0-2FED-4372-8583-BA1F5BCBDD92}" keepAlive="1" name="쿼리 - 표2" description="통합 문서의 '표2' 쿼리에 대한 연결입니다." type="5" refreshedVersion="8" background="1" saveData="1">
    <dbPr connection="Provider=Microsoft.Mashup.OleDb.1;Data Source=$Workbook$;Location=표2;Extended Properties=&quot;&quot;" command="SELECT * FROM [표2]"/>
  </connection>
  <connection id="4" xr16:uid="{BDC42B5C-ECDC-4FCB-B878-6DC344D790DD}" keepAlive="1" name="쿼리 - 표2 (2)" description="통합 문서의 '표2 (2)' 쿼리에 대한 연결입니다." type="5" refreshedVersion="8" background="1" saveData="1">
    <dbPr connection="Provider=Microsoft.Mashup.OleDb.1;Data Source=$Workbook$;Location=&quot;표2 (2)&quot;;Extended Properties=&quot;&quot;" command="SELECT * FROM [표2 (2)]"/>
  </connection>
  <connection id="5" xr16:uid="{546CF772-001C-4A5E-A094-F44EC3DEC729}" keepAlive="1" name="쿼리 - 표5" description="통합 문서의 '표5' 쿼리에 대한 연결입니다." type="5" refreshedVersion="0" background="1">
    <dbPr connection="Provider=Microsoft.Mashup.OleDb.1;Data Source=$Workbook$;Location=표5;Extended Properties=&quot;&quot;" command="SELECT * FROM [표5]"/>
  </connection>
</connections>
</file>

<file path=xl/sharedStrings.xml><?xml version="1.0" encoding="utf-8"?>
<sst xmlns="http://schemas.openxmlformats.org/spreadsheetml/2006/main" count="140" uniqueCount="30">
  <si>
    <t>상품권 결제</t>
  </si>
  <si>
    <t>현금 계산</t>
  </si>
  <si>
    <t>-</t>
  </si>
  <si>
    <t>직원 교대</t>
  </si>
  <si>
    <t xml:space="preserve">순번 </t>
  </si>
  <si>
    <t>대기열도착시간</t>
  </si>
  <si>
    <t>서비스시작시간</t>
  </si>
  <si>
    <t>서비스종료시간</t>
  </si>
  <si>
    <t>대기시간</t>
  </si>
  <si>
    <t>특이사항</t>
  </si>
  <si>
    <t>서비스시간</t>
  </si>
  <si>
    <t>10/06(월) - 2번 계산대</t>
    <phoneticPr fontId="2" type="noConversion"/>
  </si>
  <si>
    <t>10/06(월) - 1번 계산대</t>
    <phoneticPr fontId="2" type="noConversion"/>
  </si>
  <si>
    <t>상품권 결제</t>
    <phoneticPr fontId="2" type="noConversion"/>
  </si>
  <si>
    <t xml:space="preserve">상품권 결제  </t>
  </si>
  <si>
    <t>상품권결제</t>
  </si>
  <si>
    <t>평균 대기시간</t>
    <phoneticPr fontId="2" type="noConversion"/>
  </si>
  <si>
    <t>평균 서비스시간</t>
    <phoneticPr fontId="2" type="noConversion"/>
  </si>
  <si>
    <t>10/7(화) - 1번 계산대</t>
    <phoneticPr fontId="2" type="noConversion"/>
  </si>
  <si>
    <t>10/7(화) - 2번 계산대</t>
  </si>
  <si>
    <t>직원교대</t>
  </si>
  <si>
    <t>현금 결제</t>
    <phoneticPr fontId="2" type="noConversion"/>
  </si>
  <si>
    <t>-</t>
    <phoneticPr fontId="2" type="noConversion"/>
  </si>
  <si>
    <t>10/8(수) - 1번 계산대</t>
    <phoneticPr fontId="2" type="noConversion"/>
  </si>
  <si>
    <t>10/8(수) - 2번 계산대</t>
    <phoneticPr fontId="2" type="noConversion"/>
  </si>
  <si>
    <t>총 데이터 수</t>
    <phoneticPr fontId="2" type="noConversion"/>
  </si>
  <si>
    <t xml:space="preserve">순번 </t>
    <phoneticPr fontId="2" type="noConversion"/>
  </si>
  <si>
    <t>10/15(수) - 1번 계산대</t>
    <phoneticPr fontId="2" type="noConversion"/>
  </si>
  <si>
    <t>10/15(수) - 2번 계산대</t>
    <phoneticPr fontId="2" type="noConversion"/>
  </si>
  <si>
    <t>앞손님 결제오류로 인한 지연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</si>
</sst>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:ss;@"/>
    <numFmt numFmtId="177" formatCode="#&quot;번&quot;"/>
    <numFmt numFmtId="178" formatCode="#&quot;개&quot;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/>
      </right>
      <top/>
      <bottom style="thin">
        <color theme="9" tint="0.39997558519241921"/>
      </bottom>
      <diagonal/>
    </border>
    <border>
      <left style="thin">
        <color theme="9"/>
      </left>
      <right style="thin">
        <color theme="9"/>
      </right>
      <top/>
      <bottom style="thin">
        <color theme="9" tint="0.39997558519241921"/>
      </bottom>
      <diagonal/>
    </border>
    <border>
      <left style="thin">
        <color theme="9"/>
      </left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178" fontId="0" fillId="0" borderId="0" xfId="0" applyNumberFormat="1" applyAlignment="1">
      <alignment horizontal="center" vertical="center"/>
    </xf>
  </cellXfs>
  <cellStyles count="1">
    <cellStyle name="표준" xfId="0" builtinId="0"/>
  </cellStyles>
  <dxfs count="88">
    <dxf>
      <numFmt numFmtId="26" formatCode="h:mm:ss"/>
    </dxf>
    <dxf>
      <numFmt numFmtId="26" formatCode="h:mm:ss"/>
    </dxf>
    <dxf>
      <numFmt numFmtId="26" formatCode="h:mm:ss"/>
    </dxf>
    <dxf>
      <numFmt numFmtId="26" formatCode="h:mm:ss"/>
    </dxf>
    <dxf>
      <numFmt numFmtId="26" formatCode="h:mm:ss"/>
    </dxf>
    <dxf>
      <numFmt numFmtId="177" formatCode="#&quot;번&quot;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26" formatCode="h:mm:ss"/>
    </dxf>
    <dxf>
      <numFmt numFmtId="26" formatCode="h:mm:ss"/>
    </dxf>
    <dxf>
      <numFmt numFmtId="26" formatCode="h:mm:ss"/>
    </dxf>
    <dxf>
      <numFmt numFmtId="26" formatCode="h:mm:ss"/>
    </dxf>
    <dxf>
      <numFmt numFmtId="26" formatCode="h:mm:ss"/>
    </dxf>
    <dxf>
      <numFmt numFmtId="177" formatCode="#&quot;번&quot;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178" formatCode="#&quot;개&quot;"/>
      <alignment horizontal="center" vertical="center" textRotation="0" wrapText="0" indent="0" justifyLastLine="0" shrinkToFit="0" readingOrder="0"/>
    </dxf>
    <dxf>
      <numFmt numFmtId="178" formatCode="#&quot;개&quot;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177" formatCode="#&quot;번&quot;"/>
      <alignment horizontal="general" vertical="center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177" formatCode="#&quot;번&quot;"/>
      <alignment horizontal="general" vertical="center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177" formatCode="#&quot;번&quot;"/>
      <alignment horizontal="general" vertical="center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177" formatCode="#&quot;번&quot;"/>
      <alignment horizontal="general" vertical="center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</dxf>
    <dxf>
      <numFmt numFmtId="176" formatCode="h:mm:ss;@"/>
      <alignment horizontal="center" vertical="center" textRotation="0" wrapText="0" indent="0" justifyLastLine="0" shrinkToFit="0" readingOrder="0"/>
    </dxf>
    <dxf>
      <numFmt numFmtId="176" formatCode="h:mm:ss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76" formatCode="h:mm:ss;@"/>
      <alignment horizontal="general" vertical="center" textRotation="0" wrapText="0" indent="0" justifyLastLine="0" shrinkToFit="0" readingOrder="0"/>
    </dxf>
    <dxf>
      <numFmt numFmtId="176" formatCode="h:mm:ss;@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26" formatCode="h:mm:ss"/>
      <alignment horizontal="general" vertical="center" textRotation="0" wrapText="0" indent="0" justifyLastLine="0" shrinkToFit="0" readingOrder="0"/>
    </dxf>
    <dxf>
      <numFmt numFmtId="177" formatCode="#&quot;번&quot;"/>
      <alignment horizontal="general" vertical="center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76" formatCode="h:mm:ss;@"/>
      <alignment horizontal="general" vertical="center" textRotation="0" wrapText="0" indent="0" justifyLastLine="0" shrinkToFit="0" readingOrder="0"/>
    </dxf>
    <dxf>
      <numFmt numFmtId="176" formatCode="h:mm:ss;@"/>
      <alignment horizontal="general" vertical="center" textRotation="0" wrapText="0" indent="0" justifyLastLine="0" shrinkToFit="0" readingOrder="0"/>
    </dxf>
    <dxf>
      <numFmt numFmtId="176" formatCode="h:mm:ss;@"/>
      <alignment horizontal="general" vertical="center" textRotation="0" wrapText="0" indent="0" justifyLastLine="0" shrinkToFit="0" readingOrder="0"/>
    </dxf>
    <dxf>
      <numFmt numFmtId="176" formatCode="h:mm:ss;@"/>
      <alignment horizontal="general" vertical="center" textRotation="0" wrapText="0" indent="0" justifyLastLine="0" shrinkToFit="0" readingOrder="0"/>
    </dxf>
    <dxf>
      <numFmt numFmtId="176" formatCode="h:mm:ss;@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E32DF71-1FD4-43D6-A4B7-101029BAC115}" autoFormatId="16" applyNumberFormats="0" applyBorderFormats="0" applyFontFormats="0" applyPatternFormats="0" applyAlignmentFormats="0" applyWidthHeightFormats="0">
  <queryTableRefresh nextId="8">
    <queryTableFields count="7">
      <queryTableField id="1" name="순번 " tableColumnId="1"/>
      <queryTableField id="2" name="대기열도착시간" tableColumnId="2"/>
      <queryTableField id="3" name="서비스시작시간" tableColumnId="3"/>
      <queryTableField id="4" name="서비스종료시간" tableColumnId="4"/>
      <queryTableField id="5" name="대기시간" tableColumnId="5"/>
      <queryTableField id="6" name="서비스시간" tableColumnId="6"/>
      <queryTableField id="7" name="특이사항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EBAD57-F835-4B56-A03B-6AB7E3911733}" name="표2_" displayName="표2_" ref="A2:G61" tableType="queryTable" totalsRowShown="0" headerRowDxfId="87" dataDxfId="86">
  <autoFilter ref="A2:G61" xr:uid="{6AEBAD57-F835-4B56-A03B-6AB7E3911733}"/>
  <tableColumns count="7">
    <tableColumn id="1" xr3:uid="{73301796-8227-45CC-AB6F-D23D0158DD90}" uniqueName="1" name="순번 " queryTableFieldId="1" dataDxfId="85"/>
    <tableColumn id="2" xr3:uid="{61D3DEC0-F3A3-41AA-BE44-C1C2296DB17B}" uniqueName="2" name="대기열도착시간" queryTableFieldId="2" dataDxfId="84"/>
    <tableColumn id="3" xr3:uid="{670B8288-3978-4A35-A523-F93D0EA939ED}" uniqueName="3" name="서비스시작시간" queryTableFieldId="3" dataDxfId="83"/>
    <tableColumn id="4" xr3:uid="{CE447E6E-223A-4A59-A70E-9CC19C735DA2}" uniqueName="4" name="서비스종료시간" queryTableFieldId="4" dataDxfId="82"/>
    <tableColumn id="5" xr3:uid="{4E777C21-8FFF-4789-A3AD-0EA33BA826FC}" uniqueName="5" name="대기시간" queryTableFieldId="5" dataDxfId="81"/>
    <tableColumn id="6" xr3:uid="{A5685CC4-1CA9-4A74-BA4F-4D72911C9DA0}" uniqueName="6" name="서비스시간" queryTableFieldId="6" dataDxfId="80"/>
    <tableColumn id="7" xr3:uid="{D2B1DEBE-F74D-4843-99D3-CCC5B1644FF0}" uniqueName="7" name="특이사항" queryTableFieldId="7" dataDxfId="7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C925F6-FA40-4B09-A25B-302F08DF36B6}" name="표5" displayName="표5" ref="I2:O67" totalsRowShown="0" headerRowDxfId="78" dataDxfId="76" headerRowBorderDxfId="77" tableBorderDxfId="75">
  <autoFilter ref="I2:O67" xr:uid="{DBC925F6-FA40-4B09-A25B-302F08DF36B6}"/>
  <tableColumns count="7">
    <tableColumn id="1" xr3:uid="{EB2D592F-E6D9-40C9-AFFF-974E207FC706}" name="순번 " dataDxfId="74"/>
    <tableColumn id="2" xr3:uid="{33C21D3D-8EE7-4050-9E97-4C3D954C6924}" name="대기열도착시간" dataDxfId="73"/>
    <tableColumn id="3" xr3:uid="{EED047F2-2652-4716-9363-990D4B5C034F}" name="서비스시작시간" dataDxfId="72"/>
    <tableColumn id="4" xr3:uid="{D00A190D-6D11-45E7-9748-23387A313115}" name="서비스종료시간" dataDxfId="71"/>
    <tableColumn id="5" xr3:uid="{458EE7D2-ADC0-4909-804F-2046307C262C}" name="대기시간" dataDxfId="70">
      <calculatedColumnFormula>$K3-$J3</calculatedColumnFormula>
    </tableColumn>
    <tableColumn id="6" xr3:uid="{F80C5A18-664E-41B4-8E05-ECB4BB5F187A}" name="서비스시간" dataDxfId="69">
      <calculatedColumnFormula>$L3-$K3</calculatedColumnFormula>
    </tableColumn>
    <tableColumn id="7" xr3:uid="{50BD3382-117D-4418-B654-653BEBF7739B}" name="특이사항" dataDxfId="68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355A6-740B-4402-BFA4-83C01731ADF0}" name="표7" displayName="표7" ref="R2:S3" totalsRowShown="0" headerRowDxfId="67" dataDxfId="66">
  <autoFilter ref="R2:S3" xr:uid="{D88355A6-740B-4402-BFA4-83C01731ADF0}"/>
  <tableColumns count="2">
    <tableColumn id="1" xr3:uid="{E03679AE-50F9-40FB-B4FC-EB112933A2BF}" name="평균 대기시간" dataDxfId="65">
      <calculatedColumnFormula>AVERAGE($E$3:$E$61,$M$3:$M$67,$E$71:$E$145,$M$71:$M$142,$E$149:$E$222,$M$149:$M$223,표2[대기시간],표10[대기시간])</calculatedColumnFormula>
    </tableColumn>
    <tableColumn id="2" xr3:uid="{443C61E2-77B8-49C0-864E-DCD2BB070EA9}" name="평균 서비스시간" dataDxfId="64">
      <calculatedColumnFormula>AVERAGE($F$3:$F$61,$N$3:$N$67,$F$71:$F$145,$N$71:$N$142,$F$149:$F$222,$N$149:$N$223,표2[서비스시간],표10[서비스시간])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4F1CE-3F83-4D89-A58C-48089FB6F6A2}" name="표1" displayName="표1" ref="A70:G145" totalsRowShown="0" headerRowDxfId="63" dataDxfId="61" headerRowBorderDxfId="62" tableBorderDxfId="60">
  <autoFilter ref="A70:G145" xr:uid="{7A04F1CE-3F83-4D89-A58C-48089FB6F6A2}"/>
  <tableColumns count="7">
    <tableColumn id="1" xr3:uid="{8F4CCD6F-7D79-4941-BF3C-EA1B802951AE}" name="순번 " dataDxfId="59"/>
    <tableColumn id="2" xr3:uid="{205D279C-D8A5-46E0-AC74-5E82A44D9B6B}" name="대기열도착시간" dataDxfId="58"/>
    <tableColumn id="3" xr3:uid="{C4CB8628-1348-40D8-A67C-2BA99CDF9EB5}" name="서비스시작시간" dataDxfId="57"/>
    <tableColumn id="4" xr3:uid="{EBA67E72-D734-45AB-87DD-602F8E8BAAF9}" name="서비스종료시간" dataDxfId="56"/>
    <tableColumn id="5" xr3:uid="{72680DEC-52BD-49F9-9FD3-907013D1B048}" name="대기시간" dataDxfId="55">
      <calculatedColumnFormula>$C71-$B71</calculatedColumnFormula>
    </tableColumn>
    <tableColumn id="6" xr3:uid="{463DFFCF-114D-4064-A23E-949BE69797F0}" name="서비스시간" dataDxfId="54">
      <calculatedColumnFormula>$D71-$C71</calculatedColumnFormula>
    </tableColumn>
    <tableColumn id="7" xr3:uid="{A34126D4-5469-42FC-B2CD-CDE4E0CC1BBC}" name="특이사항" dataDxfId="53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98FED1-16D0-49C5-B2AE-2BEAF5243AD2}" name="표4" displayName="표4" ref="I70:O142" totalsRowShown="0" headerRowDxfId="52" dataDxfId="50" headerRowBorderDxfId="51" tableBorderDxfId="49">
  <autoFilter ref="I70:O142" xr:uid="{7098FED1-16D0-49C5-B2AE-2BEAF5243AD2}"/>
  <tableColumns count="7">
    <tableColumn id="1" xr3:uid="{B8D5B3A2-06ED-4CD1-85B2-0B104748327C}" name="순번 " dataDxfId="48"/>
    <tableColumn id="2" xr3:uid="{4400128E-B863-4130-8D0E-9F8CC063D527}" name="대기열도착시간" dataDxfId="47"/>
    <tableColumn id="3" xr3:uid="{2C5C48AF-3D81-42D4-82DA-90F4D41D6D5A}" name="서비스시작시간" dataDxfId="46"/>
    <tableColumn id="4" xr3:uid="{09B7A413-90F8-4E4F-9E2C-E3B0A229B160}" name="서비스종료시간" dataDxfId="45"/>
    <tableColumn id="5" xr3:uid="{765AFF78-672F-4142-B085-00C1A562980F}" name="대기시간" dataDxfId="44">
      <calculatedColumnFormula>$K71-$J71</calculatedColumnFormula>
    </tableColumn>
    <tableColumn id="6" xr3:uid="{0CA98352-B1E7-4063-AB15-76985CA9EC0D}" name="서비스시간" dataDxfId="43">
      <calculatedColumnFormula>$L71-$K71</calculatedColumnFormula>
    </tableColumn>
    <tableColumn id="7" xr3:uid="{8E3C0D7D-2AB0-4253-98E7-B8968A23D652}" name="특이사항" dataDxfId="42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A0C72A-507C-4464-A265-9497222D7497}" name="표6" displayName="표6" ref="A148:G222" totalsRowShown="0" headerRowDxfId="41" dataDxfId="39" headerRowBorderDxfId="40" tableBorderDxfId="38">
  <autoFilter ref="A148:G222" xr:uid="{0AA0C72A-507C-4464-A265-9497222D7497}"/>
  <tableColumns count="7">
    <tableColumn id="1" xr3:uid="{943EE0BA-6546-4AD9-A7E3-84E0E98C6497}" name="순번 " dataDxfId="37"/>
    <tableColumn id="2" xr3:uid="{865E510C-7D4F-41D2-91E6-1CD089B8C738}" name="대기열도착시간" dataDxfId="36"/>
    <tableColumn id="3" xr3:uid="{E234DC72-2F0C-4374-B95A-8A0FE27FF139}" name="서비스시작시간" dataDxfId="35"/>
    <tableColumn id="4" xr3:uid="{7C34D16E-A202-4CB3-93B0-F66BC022C387}" name="서비스종료시간" dataDxfId="34"/>
    <tableColumn id="5" xr3:uid="{32BE0C71-2DC0-4E94-9E53-347FD8A1A6AF}" name="대기시간" dataDxfId="33">
      <calculatedColumnFormula>$C149-$B149</calculatedColumnFormula>
    </tableColumn>
    <tableColumn id="6" xr3:uid="{ADF8BA8F-E877-4A99-B76D-13DC911C5A36}" name="서비스시간" dataDxfId="32">
      <calculatedColumnFormula>$D149-$C149</calculatedColumnFormula>
    </tableColumn>
    <tableColumn id="7" xr3:uid="{F3E30B15-F3FA-422D-A8D4-A2BB3A41DADF}" name="특이사항" dataDxfId="31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9B0914-0661-4638-97DE-2CCCC8AE407E}" name="표8" displayName="표8" ref="I148:O223" totalsRowShown="0" headerRowDxfId="30" dataDxfId="28" headerRowBorderDxfId="29" tableBorderDxfId="27">
  <autoFilter ref="I148:O223" xr:uid="{049B0914-0661-4638-97DE-2CCCC8AE407E}"/>
  <tableColumns count="7">
    <tableColumn id="1" xr3:uid="{FF7F11CE-F295-45F1-9CF7-1CEB45533062}" name="순번 " dataDxfId="26"/>
    <tableColumn id="2" xr3:uid="{ED5D0AD5-BBCA-4865-93A5-84ABEEA8B95D}" name="대기열도착시간" dataDxfId="25"/>
    <tableColumn id="3" xr3:uid="{D28F4E8C-3CB4-4768-A0C9-526EFF56F217}" name="서비스시작시간" dataDxfId="24"/>
    <tableColumn id="4" xr3:uid="{190A59D5-8155-4D47-BFB8-6C1BD1AE655F}" name="서비스종료시간" dataDxfId="23"/>
    <tableColumn id="5" xr3:uid="{C55790D2-3F29-44AF-8CD5-F31E18891F6C}" name="대기시간" dataDxfId="22">
      <calculatedColumnFormula>$K149-$J149</calculatedColumnFormula>
    </tableColumn>
    <tableColumn id="6" xr3:uid="{FF540D91-7DEB-41DC-A4FA-0A8787470670}" name="서비스시간" dataDxfId="21">
      <calculatedColumnFormula>$L149-$K149</calculatedColumnFormula>
    </tableColumn>
    <tableColumn id="7" xr3:uid="{CC1A7590-C9E1-4320-9A7A-25CA316E2EB8}" name="특이사항" dataDxfId="2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7D9559-E681-4526-87C6-540F5F528A8F}" name="표9" displayName="표9" ref="Q2:Q3" totalsRowShown="0" dataDxfId="19">
  <autoFilter ref="Q2:Q3" xr:uid="{097D9559-E681-4526-87C6-540F5F528A8F}"/>
  <tableColumns count="1">
    <tableColumn id="1" xr3:uid="{174F5F87-C68C-432C-9990-F8917B095E47}" name="총 데이터 수" dataDxfId="18">
      <calculatedColumnFormula>COUNT($A$3:$A$61,$I$3:$I$67,$A$71:$A$145,$I$71:$I$142,$A$149:$A$222,$I$149:$I$223,표2[[순번 ]],표10[[순번 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A8C1B-3A31-4BA8-A61D-A3F1C35C6BAF}" name="표2" displayName="표2" ref="A226:G311" totalsRowShown="0" headerRowDxfId="17" headerRowBorderDxfId="16" tableBorderDxfId="15">
  <autoFilter ref="A226:G311" xr:uid="{EC0A8C1B-3A31-4BA8-A61D-A3F1C35C6BAF}"/>
  <tableColumns count="7">
    <tableColumn id="1" xr3:uid="{0ADAB663-0F67-4D31-AA8B-E8FD12022EB9}" name="순번 " dataDxfId="14"/>
    <tableColumn id="2" xr3:uid="{091F2086-D633-43A7-8E19-C66EA97EF6AA}" name="대기열도착시간" dataDxfId="13"/>
    <tableColumn id="3" xr3:uid="{F667CAF3-2750-46E9-9398-5EBDB6D5CD8C}" name="서비스시작시간" dataDxfId="12"/>
    <tableColumn id="4" xr3:uid="{FE247E48-3159-42BF-8911-F76AFB21894F}" name="서비스종료시간" dataDxfId="11"/>
    <tableColumn id="5" xr3:uid="{E8055820-120B-4E4C-993D-5282033DFE7B}" name="대기시간" dataDxfId="10">
      <calculatedColumnFormula>$C227-$B227</calculatedColumnFormula>
    </tableColumn>
    <tableColumn id="6" xr3:uid="{3749C3BD-A106-4906-A4D0-871A23CD23F5}" name="서비스시간" dataDxfId="9">
      <calculatedColumnFormula>$D227-$C227</calculatedColumnFormula>
    </tableColumn>
    <tableColumn id="7" xr3:uid="{8E3C972D-AF2D-4D9E-83CF-C679E2A97930}" name="특이사항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61E5ED-A985-49AC-926C-5FD0F8002065}" name="표10" displayName="표10" ref="I226:O302" totalsRowShown="0" headerRowDxfId="8" headerRowBorderDxfId="7" tableBorderDxfId="6">
  <autoFilter ref="I226:O302" xr:uid="{C761E5ED-A985-49AC-926C-5FD0F8002065}"/>
  <tableColumns count="7">
    <tableColumn id="1" xr3:uid="{070802B2-D48A-471B-AFB9-71AEFFC588A0}" name="순번 " dataDxfId="5"/>
    <tableColumn id="2" xr3:uid="{0075B77A-DA62-40FB-A7E1-19E01AF7BF1F}" name="대기열도착시간" dataDxfId="4"/>
    <tableColumn id="3" xr3:uid="{65D182BC-76D9-414D-A02C-AA5291576616}" name="서비스시작시간" dataDxfId="3"/>
    <tableColumn id="4" xr3:uid="{D53BFC28-258A-4807-9669-81C1D99D67D8}" name="서비스종료시간" dataDxfId="2"/>
    <tableColumn id="5" xr3:uid="{D83B5CBD-6C00-42CF-9922-FFE17F199C7A}" name="대기시간" dataDxfId="1">
      <calculatedColumnFormula>$K227-$J227</calculatedColumnFormula>
    </tableColumn>
    <tableColumn id="6" xr3:uid="{C2C4CA0A-9AEF-470E-B38D-B326FAA67471}" name="서비스시간" dataDxfId="0">
      <calculatedColumnFormula>$L227-$K227</calculatedColumnFormula>
    </tableColumn>
    <tableColumn id="7" xr3:uid="{20E46FED-FECE-49E6-8DAF-397CCD211A96}" name="특이사항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2302-F814-4A07-A960-8D428CF5B1FC}">
  <dimension ref="A1:S311"/>
  <sheetViews>
    <sheetView tabSelected="1" zoomScaleNormal="100" workbookViewId="0">
      <selection activeCell="H19" sqref="H19"/>
    </sheetView>
  </sheetViews>
  <sheetFormatPr defaultRowHeight="17" x14ac:dyDescent="0.45"/>
  <cols>
    <col min="1" max="1" width="7.75" bestFit="1" customWidth="1"/>
    <col min="2" max="4" width="18.6640625" bestFit="1" customWidth="1"/>
    <col min="5" max="5" width="12.83203125" bestFit="1" customWidth="1"/>
    <col min="6" max="6" width="14.75" bestFit="1" customWidth="1"/>
    <col min="7" max="7" width="11.08203125" bestFit="1" customWidth="1"/>
    <col min="10" max="10" width="15.4140625" customWidth="1"/>
    <col min="11" max="12" width="16.58203125" bestFit="1" customWidth="1"/>
    <col min="13" max="13" width="10.75" bestFit="1" customWidth="1"/>
    <col min="14" max="14" width="12.6640625" bestFit="1" customWidth="1"/>
    <col min="15" max="15" width="11.08203125" bestFit="1" customWidth="1"/>
    <col min="16" max="16" width="11.08203125" customWidth="1"/>
    <col min="17" max="17" width="13.08203125" customWidth="1"/>
    <col min="18" max="18" width="15.33203125" bestFit="1" customWidth="1"/>
    <col min="19" max="19" width="17.25" bestFit="1" customWidth="1"/>
  </cols>
  <sheetData>
    <row r="1" spans="1:19" x14ac:dyDescent="0.45">
      <c r="A1" t="s">
        <v>12</v>
      </c>
      <c r="I1" t="s">
        <v>11</v>
      </c>
    </row>
    <row r="2" spans="1:19" x14ac:dyDescent="0.4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10</v>
      </c>
      <c r="G2" t="s">
        <v>9</v>
      </c>
      <c r="I2" s="3" t="s">
        <v>26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10</v>
      </c>
      <c r="O2" s="5" t="s">
        <v>9</v>
      </c>
      <c r="P2" s="1"/>
      <c r="Q2" t="s">
        <v>25</v>
      </c>
      <c r="R2" s="1" t="s">
        <v>16</v>
      </c>
      <c r="S2" s="1" t="s">
        <v>17</v>
      </c>
    </row>
    <row r="3" spans="1:19" x14ac:dyDescent="0.45">
      <c r="A3" s="7">
        <v>1</v>
      </c>
      <c r="B3" s="6">
        <v>0.60597222222222225</v>
      </c>
      <c r="C3" s="6">
        <v>0.60679398148148145</v>
      </c>
      <c r="D3" s="6">
        <v>0.60766203703703703</v>
      </c>
      <c r="E3" s="6">
        <v>8.2175925925920268E-4</v>
      </c>
      <c r="F3" s="6">
        <v>8.6805555555558023E-4</v>
      </c>
      <c r="I3" s="7">
        <v>1</v>
      </c>
      <c r="J3" s="6">
        <v>0.60611111111111116</v>
      </c>
      <c r="K3" s="6">
        <v>0.60673611111111114</v>
      </c>
      <c r="L3" s="6">
        <v>0.6071643518518518</v>
      </c>
      <c r="M3" s="6">
        <f>$K3-$J3</f>
        <v>6.2499999999998668E-4</v>
      </c>
      <c r="N3" s="6">
        <f>$L3-$K3</f>
        <v>4.2824074074065965E-4</v>
      </c>
      <c r="P3" s="1"/>
      <c r="Q3" s="13">
        <f>COUNT($A$3:$A$61,$I$3:$I$67,$A$71:$A$145,$I$71:$I$142,$A$149:$A$222,$I$149:$I$223,표2[[순번 ]],표10[[순번 ]])</f>
        <v>580</v>
      </c>
      <c r="R3" s="2">
        <f>AVERAGE($E$3:$E$61,$M$3:$M$67,$E$71:$E$145,$M$71:$M$142,$E$149:$E$222,$M$149:$M$223,표2[대기시간],표10[대기시간])</f>
        <v>1.1183474061280609E-3</v>
      </c>
      <c r="S3" s="2">
        <f>AVERAGE($F$3:$F$61,$N$3:$N$67,$F$71:$F$145,$N$71:$N$142,$F$149:$F$222,$N$149:$N$223,표2[서비스시간],표10[서비스시간])</f>
        <v>7.1117587795048931E-4</v>
      </c>
    </row>
    <row r="4" spans="1:19" x14ac:dyDescent="0.45">
      <c r="A4" s="7">
        <v>2</v>
      </c>
      <c r="B4" s="6">
        <v>0.60776620370370371</v>
      </c>
      <c r="C4" s="6">
        <v>0.60812500000000003</v>
      </c>
      <c r="D4" s="6">
        <v>0.60896990740740742</v>
      </c>
      <c r="E4" s="6">
        <v>3.5879629629631538E-4</v>
      </c>
      <c r="F4" s="6">
        <v>8.4490740740739145E-4</v>
      </c>
      <c r="I4" s="7">
        <v>2</v>
      </c>
      <c r="J4" s="6">
        <v>0.60653935185185182</v>
      </c>
      <c r="K4" s="6">
        <v>0.60717592592592595</v>
      </c>
      <c r="L4" s="6">
        <v>0.60739583333333336</v>
      </c>
      <c r="M4" s="6">
        <f t="shared" ref="M4:M67" si="0">$K4-$J4</f>
        <v>6.3657407407413658E-4</v>
      </c>
      <c r="N4" s="6">
        <f t="shared" ref="N4:N67" si="1">$L4-$K4</f>
        <v>2.1990740740740478E-4</v>
      </c>
      <c r="P4" s="1"/>
    </row>
    <row r="5" spans="1:19" x14ac:dyDescent="0.45">
      <c r="A5" s="7">
        <v>3</v>
      </c>
      <c r="B5" s="6">
        <v>0.60938657407407404</v>
      </c>
      <c r="C5" s="6">
        <v>0.60938657407407404</v>
      </c>
      <c r="D5" s="6">
        <v>0.61008101851851848</v>
      </c>
      <c r="E5" s="6">
        <v>0</v>
      </c>
      <c r="F5" s="6">
        <v>6.9444444444444198E-4</v>
      </c>
      <c r="I5" s="7">
        <v>3</v>
      </c>
      <c r="J5" s="6">
        <v>0.60761574074074076</v>
      </c>
      <c r="K5" s="6">
        <v>0.60848379629629634</v>
      </c>
      <c r="L5" s="6">
        <v>0.60870370370370375</v>
      </c>
      <c r="M5" s="6">
        <f t="shared" si="0"/>
        <v>8.6805555555558023E-4</v>
      </c>
      <c r="N5" s="6">
        <f t="shared" si="1"/>
        <v>2.1990740740740478E-4</v>
      </c>
      <c r="P5" s="1"/>
    </row>
    <row r="6" spans="1:19" x14ac:dyDescent="0.45">
      <c r="A6" s="7">
        <v>4</v>
      </c>
      <c r="B6" s="6">
        <v>0.60971064814814813</v>
      </c>
      <c r="C6" s="6">
        <v>0.61008101851851848</v>
      </c>
      <c r="D6" s="6">
        <v>0.61052083333333329</v>
      </c>
      <c r="E6" s="6">
        <v>3.7037037037035425E-4</v>
      </c>
      <c r="F6" s="6">
        <v>4.3981481481480955E-4</v>
      </c>
      <c r="I6" s="7">
        <v>4</v>
      </c>
      <c r="J6" s="6">
        <v>0.60930555555555554</v>
      </c>
      <c r="K6" s="6">
        <v>0.60942129629629627</v>
      </c>
      <c r="L6" s="6">
        <v>0.60966435185185186</v>
      </c>
      <c r="M6" s="6">
        <f t="shared" si="0"/>
        <v>1.1574074074072183E-4</v>
      </c>
      <c r="N6" s="6">
        <f t="shared" si="1"/>
        <v>2.4305555555559355E-4</v>
      </c>
      <c r="O6" t="s">
        <v>13</v>
      </c>
      <c r="P6" s="1"/>
    </row>
    <row r="7" spans="1:19" x14ac:dyDescent="0.45">
      <c r="A7" s="7">
        <v>5</v>
      </c>
      <c r="B7" s="6">
        <v>0.61097222222222225</v>
      </c>
      <c r="C7" s="6">
        <v>0.61097222222222225</v>
      </c>
      <c r="D7" s="6">
        <v>0.61185185185185187</v>
      </c>
      <c r="E7" s="6">
        <v>0</v>
      </c>
      <c r="F7" s="6">
        <v>8.796296296296191E-4</v>
      </c>
      <c r="I7" s="7">
        <v>5</v>
      </c>
      <c r="J7" s="6">
        <v>0.6098958333333333</v>
      </c>
      <c r="K7" s="6">
        <v>0.60998842592592595</v>
      </c>
      <c r="L7" s="6">
        <v>0.61031250000000004</v>
      </c>
      <c r="M7" s="6">
        <f t="shared" si="0"/>
        <v>9.2592592592644074E-5</v>
      </c>
      <c r="N7" s="6">
        <f t="shared" si="1"/>
        <v>3.2407407407408773E-4</v>
      </c>
      <c r="P7" s="1"/>
    </row>
    <row r="8" spans="1:19" x14ac:dyDescent="0.45">
      <c r="A8" s="7">
        <v>6</v>
      </c>
      <c r="B8" s="6">
        <v>0.611724537037037</v>
      </c>
      <c r="C8" s="6">
        <v>0.61185185185185187</v>
      </c>
      <c r="D8" s="6">
        <v>0.61233796296296295</v>
      </c>
      <c r="E8" s="6">
        <v>1.2731481481487172E-4</v>
      </c>
      <c r="F8" s="6">
        <v>4.8611111111107608E-4</v>
      </c>
      <c r="I8" s="7">
        <v>6</v>
      </c>
      <c r="J8" s="6">
        <v>0.61123842592592592</v>
      </c>
      <c r="K8" s="6">
        <v>0.61138888888888887</v>
      </c>
      <c r="L8" s="6">
        <v>0.61200231481481482</v>
      </c>
      <c r="M8" s="6">
        <f t="shared" si="0"/>
        <v>1.5046296296294948E-4</v>
      </c>
      <c r="N8" s="6">
        <f t="shared" si="1"/>
        <v>6.134259259259478E-4</v>
      </c>
      <c r="P8" s="1"/>
    </row>
    <row r="9" spans="1:19" x14ac:dyDescent="0.45">
      <c r="A9" s="7">
        <v>7</v>
      </c>
      <c r="B9" s="6">
        <v>0.61281249999999998</v>
      </c>
      <c r="C9" s="6">
        <v>0.61281249999999998</v>
      </c>
      <c r="D9" s="6">
        <v>0.61333333333333329</v>
      </c>
      <c r="E9" s="6">
        <v>0</v>
      </c>
      <c r="F9" s="6">
        <v>5.2083333333330373E-4</v>
      </c>
      <c r="I9" s="7">
        <v>7</v>
      </c>
      <c r="J9" s="6">
        <v>0.61305555555555558</v>
      </c>
      <c r="K9" s="6">
        <v>0.61314814814814811</v>
      </c>
      <c r="L9" s="6">
        <v>0.61354166666666665</v>
      </c>
      <c r="M9" s="6">
        <f t="shared" si="0"/>
        <v>9.2592592592533052E-5</v>
      </c>
      <c r="N9" s="6">
        <f t="shared" si="1"/>
        <v>3.9351851851854303E-4</v>
      </c>
      <c r="P9" s="1"/>
    </row>
    <row r="10" spans="1:19" x14ac:dyDescent="0.45">
      <c r="A10" s="7">
        <v>8</v>
      </c>
      <c r="B10" s="6">
        <v>0.61239583333333336</v>
      </c>
      <c r="C10" s="6">
        <v>0.61333333333333329</v>
      </c>
      <c r="D10" s="6">
        <v>0.61473379629629632</v>
      </c>
      <c r="E10" s="6">
        <v>9.374999999999245E-4</v>
      </c>
      <c r="F10" s="6">
        <v>1.4004629629630339E-3</v>
      </c>
      <c r="G10" t="s">
        <v>0</v>
      </c>
      <c r="I10" s="7">
        <v>8</v>
      </c>
      <c r="J10" s="6">
        <v>0.61391203703703701</v>
      </c>
      <c r="K10" s="6">
        <v>0.61423611111111109</v>
      </c>
      <c r="L10" s="6">
        <v>0.61429398148148151</v>
      </c>
      <c r="M10" s="6">
        <f t="shared" si="0"/>
        <v>3.2407407407408773E-4</v>
      </c>
      <c r="N10" s="6">
        <f t="shared" si="1"/>
        <v>5.7870370370416424E-5</v>
      </c>
      <c r="P10" s="1"/>
    </row>
    <row r="11" spans="1:19" x14ac:dyDescent="0.45">
      <c r="A11" s="7">
        <v>9</v>
      </c>
      <c r="B11" s="6">
        <v>0.61402777777777773</v>
      </c>
      <c r="C11" s="6">
        <v>0.61473379629629632</v>
      </c>
      <c r="D11" s="6">
        <v>0.61656250000000001</v>
      </c>
      <c r="E11" s="6">
        <v>7.0601851851859188E-4</v>
      </c>
      <c r="F11" s="6">
        <v>1.8287037037036935E-3</v>
      </c>
      <c r="I11" s="7">
        <v>9</v>
      </c>
      <c r="J11" s="6">
        <v>0.61451388888888892</v>
      </c>
      <c r="K11" s="6">
        <v>0.61462962962962964</v>
      </c>
      <c r="L11" s="6">
        <v>0.61496527777777776</v>
      </c>
      <c r="M11" s="6">
        <f t="shared" si="0"/>
        <v>1.1574074074072183E-4</v>
      </c>
      <c r="N11" s="6">
        <f t="shared" si="1"/>
        <v>3.356481481481266E-4</v>
      </c>
      <c r="P11" s="1"/>
    </row>
    <row r="12" spans="1:19" x14ac:dyDescent="0.45">
      <c r="A12" s="7">
        <v>10</v>
      </c>
      <c r="B12" s="6">
        <v>0.6149768518518518</v>
      </c>
      <c r="C12" s="6">
        <v>0.61656250000000001</v>
      </c>
      <c r="D12" s="6">
        <v>0.61789351851851848</v>
      </c>
      <c r="E12" s="6">
        <v>1.585648148148211E-3</v>
      </c>
      <c r="F12" s="6">
        <v>1.3310185185184675E-3</v>
      </c>
      <c r="I12" s="7">
        <v>10</v>
      </c>
      <c r="J12" s="6">
        <v>0.61484953703703704</v>
      </c>
      <c r="K12" s="6">
        <v>0.61510416666666667</v>
      </c>
      <c r="L12" s="6">
        <v>0.61645833333333333</v>
      </c>
      <c r="M12" s="6">
        <f t="shared" si="0"/>
        <v>2.5462962962963243E-4</v>
      </c>
      <c r="N12" s="6">
        <f t="shared" si="1"/>
        <v>1.3541666666666563E-3</v>
      </c>
      <c r="P12" s="1"/>
    </row>
    <row r="13" spans="1:19" x14ac:dyDescent="0.45">
      <c r="A13" s="7">
        <v>11</v>
      </c>
      <c r="B13" s="6">
        <v>0.61674768518518519</v>
      </c>
      <c r="C13" s="6">
        <v>0.61789351851851848</v>
      </c>
      <c r="D13" s="6">
        <v>0.61846064814814816</v>
      </c>
      <c r="E13" s="6">
        <v>1.1458333333332904E-3</v>
      </c>
      <c r="F13" s="6">
        <v>5.6712962962968128E-4</v>
      </c>
      <c r="I13" s="7">
        <v>11</v>
      </c>
      <c r="J13" s="6">
        <v>0.61554398148148148</v>
      </c>
      <c r="K13" s="6">
        <v>0.6165856481481482</v>
      </c>
      <c r="L13" s="6">
        <v>0.61668981481481477</v>
      </c>
      <c r="M13" s="6">
        <f t="shared" si="0"/>
        <v>1.0416666666667185E-3</v>
      </c>
      <c r="N13" s="6">
        <f t="shared" si="1"/>
        <v>1.0416666666657193E-4</v>
      </c>
      <c r="P13" s="1"/>
    </row>
    <row r="14" spans="1:19" x14ac:dyDescent="0.45">
      <c r="A14" s="7">
        <v>12</v>
      </c>
      <c r="B14" s="6">
        <v>0.61677083333333338</v>
      </c>
      <c r="C14" s="6">
        <v>0.61846064814814816</v>
      </c>
      <c r="D14" s="6">
        <v>0.61901620370370369</v>
      </c>
      <c r="E14" s="6">
        <v>1.6898148148147829E-3</v>
      </c>
      <c r="F14" s="6">
        <v>5.5555555555553138E-4</v>
      </c>
      <c r="I14" s="7">
        <v>12</v>
      </c>
      <c r="J14" s="6">
        <v>0.6159027777777778</v>
      </c>
      <c r="K14" s="6">
        <v>0.61674768518518519</v>
      </c>
      <c r="L14" s="6">
        <v>0.61753472222222228</v>
      </c>
      <c r="M14" s="6">
        <f t="shared" si="0"/>
        <v>8.4490740740739145E-4</v>
      </c>
      <c r="N14" s="6">
        <f t="shared" si="1"/>
        <v>7.8703703703708605E-4</v>
      </c>
      <c r="P14" s="1"/>
    </row>
    <row r="15" spans="1:19" x14ac:dyDescent="0.45">
      <c r="A15" s="7">
        <v>13</v>
      </c>
      <c r="B15" s="6">
        <v>0.61802083333333335</v>
      </c>
      <c r="C15" s="6">
        <v>0.61901620370370369</v>
      </c>
      <c r="D15" s="6">
        <v>0.619537037037037</v>
      </c>
      <c r="E15" s="6">
        <v>9.9537037037034093E-4</v>
      </c>
      <c r="F15" s="6">
        <v>5.2083333333330373E-4</v>
      </c>
      <c r="I15" s="7">
        <v>13</v>
      </c>
      <c r="J15" s="6">
        <v>0.61732638888888891</v>
      </c>
      <c r="K15" s="6">
        <v>0.61758101851851854</v>
      </c>
      <c r="L15" s="6">
        <v>0.61826388888888884</v>
      </c>
      <c r="M15" s="6">
        <f t="shared" si="0"/>
        <v>2.5462962962963243E-4</v>
      </c>
      <c r="N15" s="6">
        <f t="shared" si="1"/>
        <v>6.8287037037029208E-4</v>
      </c>
      <c r="O15" t="s">
        <v>0</v>
      </c>
      <c r="P15" s="1"/>
    </row>
    <row r="16" spans="1:19" x14ac:dyDescent="0.45">
      <c r="A16" s="7">
        <v>14</v>
      </c>
      <c r="B16" s="6">
        <v>0.61846064814814816</v>
      </c>
      <c r="C16" s="6">
        <v>0.619537037037037</v>
      </c>
      <c r="D16" s="6">
        <v>0.62071759259259263</v>
      </c>
      <c r="E16" s="6">
        <v>1.0763888888888351E-3</v>
      </c>
      <c r="F16" s="6">
        <v>1.1805555555556291E-3</v>
      </c>
      <c r="I16" s="7">
        <v>14</v>
      </c>
      <c r="J16" s="6">
        <v>0.61791666666666667</v>
      </c>
      <c r="K16" s="6">
        <v>0.61844907407407412</v>
      </c>
      <c r="L16" s="6">
        <v>0.61856481481481485</v>
      </c>
      <c r="M16" s="6">
        <f t="shared" si="0"/>
        <v>5.3240740740745363E-4</v>
      </c>
      <c r="N16" s="6">
        <f t="shared" si="1"/>
        <v>1.1574074074072183E-4</v>
      </c>
      <c r="P16" s="1"/>
    </row>
    <row r="17" spans="1:16" x14ac:dyDescent="0.45">
      <c r="A17" s="7">
        <v>15</v>
      </c>
      <c r="B17" s="6">
        <v>0.61997685185185181</v>
      </c>
      <c r="C17" s="6">
        <v>0.62071759259259263</v>
      </c>
      <c r="D17" s="6">
        <v>0.62137731481481484</v>
      </c>
      <c r="E17" s="6">
        <v>7.4074074074081953E-4</v>
      </c>
      <c r="F17" s="6">
        <v>6.5972222222221433E-4</v>
      </c>
      <c r="I17" s="7">
        <v>15</v>
      </c>
      <c r="J17" s="6">
        <v>0.61802083333333335</v>
      </c>
      <c r="K17" s="6">
        <v>0.61864583333333334</v>
      </c>
      <c r="L17" s="6">
        <v>0.61881944444444448</v>
      </c>
      <c r="M17" s="6">
        <f t="shared" si="0"/>
        <v>6.2499999999998668E-4</v>
      </c>
      <c r="N17" s="6">
        <f t="shared" si="1"/>
        <v>1.7361111111113825E-4</v>
      </c>
      <c r="P17" s="1"/>
    </row>
    <row r="18" spans="1:16" x14ac:dyDescent="0.45">
      <c r="A18" s="7">
        <v>16</v>
      </c>
      <c r="B18" s="6">
        <v>0.62072916666666667</v>
      </c>
      <c r="C18" s="6">
        <v>0.62137731481481484</v>
      </c>
      <c r="D18" s="6">
        <v>0.62185185185185188</v>
      </c>
      <c r="E18" s="6">
        <v>6.4814814814817545E-4</v>
      </c>
      <c r="F18" s="6">
        <v>4.745370370370372E-4</v>
      </c>
      <c r="I18" s="7">
        <v>16</v>
      </c>
      <c r="J18" s="6">
        <v>0.6181712962962963</v>
      </c>
      <c r="K18" s="6">
        <v>0.6189930555555555</v>
      </c>
      <c r="L18" s="6">
        <v>0.61928240740740736</v>
      </c>
      <c r="M18" s="6">
        <f t="shared" si="0"/>
        <v>8.2175925925920268E-4</v>
      </c>
      <c r="N18" s="6">
        <f t="shared" si="1"/>
        <v>2.8935185185186008E-4</v>
      </c>
      <c r="P18" s="1"/>
    </row>
    <row r="19" spans="1:16" x14ac:dyDescent="0.45">
      <c r="A19" s="7">
        <v>17</v>
      </c>
      <c r="B19" s="6">
        <v>0.62216435185185182</v>
      </c>
      <c r="C19" s="6">
        <v>0.62216435185185182</v>
      </c>
      <c r="D19" s="6">
        <v>0.62300925925925921</v>
      </c>
      <c r="E19" s="6">
        <v>0</v>
      </c>
      <c r="F19" s="6">
        <v>8.4490740740739145E-4</v>
      </c>
      <c r="I19" s="7">
        <v>17</v>
      </c>
      <c r="J19" s="6">
        <v>0.6182523148148148</v>
      </c>
      <c r="K19" s="6">
        <v>0.61940972222222224</v>
      </c>
      <c r="L19" s="6">
        <v>0.61971064814814814</v>
      </c>
      <c r="M19" s="6">
        <f t="shared" si="0"/>
        <v>1.1574074074074403E-3</v>
      </c>
      <c r="N19" s="6">
        <f t="shared" si="1"/>
        <v>3.0092592592589895E-4</v>
      </c>
      <c r="P19" s="1"/>
    </row>
    <row r="20" spans="1:16" x14ac:dyDescent="0.45">
      <c r="A20" s="7">
        <v>18</v>
      </c>
      <c r="B20" s="6">
        <v>0.62313657407407408</v>
      </c>
      <c r="C20" s="6">
        <v>0.62313657407407408</v>
      </c>
      <c r="D20" s="6">
        <v>0.62384259259259256</v>
      </c>
      <c r="E20" s="6">
        <v>0</v>
      </c>
      <c r="F20" s="6">
        <v>7.0601851851848085E-4</v>
      </c>
      <c r="G20" t="s">
        <v>1</v>
      </c>
      <c r="I20" s="7">
        <v>18</v>
      </c>
      <c r="J20" s="6">
        <v>0.61962962962962964</v>
      </c>
      <c r="K20" s="6">
        <v>0.61986111111111108</v>
      </c>
      <c r="L20" s="6">
        <v>0.62039351851851854</v>
      </c>
      <c r="M20" s="6">
        <f t="shared" si="0"/>
        <v>2.3148148148144365E-4</v>
      </c>
      <c r="N20" s="6">
        <f t="shared" si="1"/>
        <v>5.3240740740745363E-4</v>
      </c>
      <c r="P20" s="1"/>
    </row>
    <row r="21" spans="1:16" x14ac:dyDescent="0.45">
      <c r="A21" s="7">
        <v>19</v>
      </c>
      <c r="B21" s="6">
        <v>0.62351851851851847</v>
      </c>
      <c r="C21" s="6">
        <v>0.62384259259259256</v>
      </c>
      <c r="D21" s="6">
        <v>0.62490740740740736</v>
      </c>
      <c r="E21" s="6">
        <v>3.2407407407408773E-4</v>
      </c>
      <c r="F21" s="6">
        <v>1.0648148148147962E-3</v>
      </c>
      <c r="G21" t="s">
        <v>0</v>
      </c>
      <c r="I21" s="7">
        <v>19</v>
      </c>
      <c r="J21" s="6">
        <v>0.62201388888888887</v>
      </c>
      <c r="K21" s="6">
        <v>0.6221875</v>
      </c>
      <c r="L21" s="6">
        <v>0.6227314814814815</v>
      </c>
      <c r="M21" s="6">
        <f t="shared" si="0"/>
        <v>1.7361111111113825E-4</v>
      </c>
      <c r="N21" s="6">
        <f t="shared" si="1"/>
        <v>5.439814814814925E-4</v>
      </c>
      <c r="O21" t="s">
        <v>14</v>
      </c>
      <c r="P21" s="1"/>
    </row>
    <row r="22" spans="1:16" x14ac:dyDescent="0.45">
      <c r="A22" s="7">
        <v>20</v>
      </c>
      <c r="B22" s="6">
        <v>0.62615740740740744</v>
      </c>
      <c r="C22" s="6">
        <v>0.62615740740740744</v>
      </c>
      <c r="D22" s="6">
        <v>0.62655092592592587</v>
      </c>
      <c r="E22" s="6">
        <v>0</v>
      </c>
      <c r="F22" s="6">
        <v>3.93518518518432E-4</v>
      </c>
      <c r="I22" s="7">
        <v>20</v>
      </c>
      <c r="J22" s="6">
        <v>0.62311342592592589</v>
      </c>
      <c r="K22" s="6">
        <v>0.62344907407407413</v>
      </c>
      <c r="L22" s="6">
        <v>0.62370370370370365</v>
      </c>
      <c r="M22" s="6">
        <f t="shared" si="0"/>
        <v>3.3564814814823762E-4</v>
      </c>
      <c r="N22" s="6">
        <f t="shared" si="1"/>
        <v>2.546296296295214E-4</v>
      </c>
      <c r="P22" s="1"/>
    </row>
    <row r="23" spans="1:16" x14ac:dyDescent="0.45">
      <c r="A23" s="7">
        <v>21</v>
      </c>
      <c r="B23" s="6">
        <v>0.62672453703703701</v>
      </c>
      <c r="C23" s="6">
        <v>0.62672453703703701</v>
      </c>
      <c r="D23" s="6">
        <v>0.62805555555555559</v>
      </c>
      <c r="E23" s="6">
        <v>0</v>
      </c>
      <c r="F23" s="6">
        <v>1.3310185185185786E-3</v>
      </c>
      <c r="G23" t="s">
        <v>0</v>
      </c>
      <c r="I23" s="7">
        <v>21</v>
      </c>
      <c r="J23" s="6">
        <v>0.62474537037037037</v>
      </c>
      <c r="K23" s="6">
        <v>0.62489583333333332</v>
      </c>
      <c r="L23" s="6">
        <v>0.62548611111111108</v>
      </c>
      <c r="M23" s="6">
        <f t="shared" si="0"/>
        <v>1.5046296296294948E-4</v>
      </c>
      <c r="N23" s="6">
        <f t="shared" si="1"/>
        <v>5.9027777777775903E-4</v>
      </c>
      <c r="P23" s="1"/>
    </row>
    <row r="24" spans="1:16" x14ac:dyDescent="0.45">
      <c r="A24" s="7">
        <v>22</v>
      </c>
      <c r="B24" s="6">
        <v>0.62792824074074072</v>
      </c>
      <c r="C24" s="6">
        <v>0.62805555555555559</v>
      </c>
      <c r="D24" s="6">
        <v>0.62873842592592588</v>
      </c>
      <c r="E24" s="6">
        <v>1.2731481481487172E-4</v>
      </c>
      <c r="F24" s="6">
        <v>6.8287037037029208E-4</v>
      </c>
      <c r="I24" s="7">
        <v>22</v>
      </c>
      <c r="J24" s="6">
        <v>0.62520833333333337</v>
      </c>
      <c r="K24" s="6">
        <v>0.62561342592592595</v>
      </c>
      <c r="L24" s="6">
        <v>0.62620370370370371</v>
      </c>
      <c r="M24" s="6">
        <f t="shared" si="0"/>
        <v>4.050925925925819E-4</v>
      </c>
      <c r="N24" s="6">
        <f t="shared" si="1"/>
        <v>5.9027777777775903E-4</v>
      </c>
      <c r="P24" s="1"/>
    </row>
    <row r="25" spans="1:16" x14ac:dyDescent="0.45">
      <c r="A25" s="7">
        <v>23</v>
      </c>
      <c r="B25" s="6">
        <v>0.62863425925925931</v>
      </c>
      <c r="C25" s="6">
        <v>0.62873842592592588</v>
      </c>
      <c r="D25" s="6">
        <v>0.62950231481481478</v>
      </c>
      <c r="E25" s="6">
        <v>1.0416666666657193E-4</v>
      </c>
      <c r="F25" s="6">
        <v>7.6388888888889728E-4</v>
      </c>
      <c r="I25" s="7">
        <v>23</v>
      </c>
      <c r="J25" s="6">
        <v>0.62776620370370373</v>
      </c>
      <c r="K25" s="6">
        <v>0.62793981481481487</v>
      </c>
      <c r="L25" s="6">
        <v>0.62890046296296298</v>
      </c>
      <c r="M25" s="6">
        <f t="shared" si="0"/>
        <v>1.7361111111113825E-4</v>
      </c>
      <c r="N25" s="6">
        <f t="shared" si="1"/>
        <v>9.6064814814811328E-4</v>
      </c>
      <c r="P25" s="1"/>
    </row>
    <row r="26" spans="1:16" x14ac:dyDescent="0.45">
      <c r="A26" s="7">
        <v>24</v>
      </c>
      <c r="B26" s="6">
        <v>0.62888888888888894</v>
      </c>
      <c r="C26" s="6">
        <v>0.62950231481481478</v>
      </c>
      <c r="D26" s="6">
        <v>0.6300810185185185</v>
      </c>
      <c r="E26" s="6">
        <v>6.1342592592583678E-4</v>
      </c>
      <c r="F26" s="6">
        <v>5.7870370370372015E-4</v>
      </c>
      <c r="I26" s="7">
        <v>24</v>
      </c>
      <c r="J26" s="6">
        <v>0.62844907407407402</v>
      </c>
      <c r="K26" s="6">
        <v>0.62893518518518521</v>
      </c>
      <c r="L26" s="6">
        <v>0.62934027777777779</v>
      </c>
      <c r="M26" s="6">
        <f t="shared" si="0"/>
        <v>4.861111111111871E-4</v>
      </c>
      <c r="N26" s="6">
        <f t="shared" si="1"/>
        <v>4.050925925925819E-4</v>
      </c>
      <c r="O26" t="s">
        <v>15</v>
      </c>
      <c r="P26" s="1"/>
    </row>
    <row r="27" spans="1:16" x14ac:dyDescent="0.45">
      <c r="A27" s="7">
        <v>25</v>
      </c>
      <c r="B27" s="6">
        <v>0.63037037037037036</v>
      </c>
      <c r="C27" s="6">
        <v>0.63037037037037036</v>
      </c>
      <c r="D27" s="6">
        <v>0.63115740740740744</v>
      </c>
      <c r="E27" s="6">
        <v>0</v>
      </c>
      <c r="F27" s="6">
        <v>7.8703703703708605E-4</v>
      </c>
      <c r="I27" s="7">
        <v>25</v>
      </c>
      <c r="J27" s="6">
        <v>0.62953703703703701</v>
      </c>
      <c r="K27" s="6">
        <v>0.62972222222222218</v>
      </c>
      <c r="L27" s="6">
        <v>0.63064814814814818</v>
      </c>
      <c r="M27" s="6">
        <f t="shared" si="0"/>
        <v>1.8518518518517713E-4</v>
      </c>
      <c r="N27" s="6">
        <f t="shared" si="1"/>
        <v>9.2592592592599665E-4</v>
      </c>
      <c r="P27" s="1"/>
    </row>
    <row r="28" spans="1:16" x14ac:dyDescent="0.45">
      <c r="A28" s="7">
        <v>26</v>
      </c>
      <c r="B28" s="6">
        <v>0.630462962962963</v>
      </c>
      <c r="C28" s="6">
        <v>0.63115740740740744</v>
      </c>
      <c r="D28" s="6">
        <v>0.63175925925925924</v>
      </c>
      <c r="E28" s="6">
        <v>6.9444444444444198E-4</v>
      </c>
      <c r="F28" s="6">
        <v>6.018518518517979E-4</v>
      </c>
      <c r="I28" s="7">
        <v>26</v>
      </c>
      <c r="J28" s="6">
        <v>0.63047453703703704</v>
      </c>
      <c r="K28" s="6">
        <v>0.63078703703703709</v>
      </c>
      <c r="L28" s="6">
        <v>0.63135416666666666</v>
      </c>
      <c r="M28" s="6">
        <f t="shared" si="0"/>
        <v>3.1250000000004885E-4</v>
      </c>
      <c r="N28" s="6">
        <f t="shared" si="1"/>
        <v>5.6712962962957025E-4</v>
      </c>
      <c r="P28" s="1"/>
    </row>
    <row r="29" spans="1:16" x14ac:dyDescent="0.45">
      <c r="A29" s="7">
        <v>27</v>
      </c>
      <c r="B29" s="6">
        <v>0.63140046296296293</v>
      </c>
      <c r="C29" s="6">
        <v>0.63175925925925924</v>
      </c>
      <c r="D29" s="6">
        <v>0.63208333333333333</v>
      </c>
      <c r="E29" s="6">
        <v>3.5879629629631538E-4</v>
      </c>
      <c r="F29" s="6">
        <v>3.2407407407408773E-4</v>
      </c>
      <c r="I29" s="7">
        <v>27</v>
      </c>
      <c r="J29" s="6">
        <v>0.63118055555555552</v>
      </c>
      <c r="K29" s="6">
        <v>0.63181712962962966</v>
      </c>
      <c r="L29" s="6">
        <v>0.63216435185185182</v>
      </c>
      <c r="M29" s="6">
        <f t="shared" si="0"/>
        <v>6.3657407407413658E-4</v>
      </c>
      <c r="N29" s="6">
        <f t="shared" si="1"/>
        <v>3.4722222222216548E-4</v>
      </c>
      <c r="P29" s="1"/>
    </row>
    <row r="30" spans="1:16" x14ac:dyDescent="0.45">
      <c r="A30" s="7">
        <v>28</v>
      </c>
      <c r="B30" s="6">
        <v>0.63178240740740743</v>
      </c>
      <c r="C30" s="6">
        <v>0.63208333333333333</v>
      </c>
      <c r="D30" s="6">
        <v>0.63262731481481482</v>
      </c>
      <c r="E30" s="6">
        <v>3.0092592592589895E-4</v>
      </c>
      <c r="F30" s="6">
        <v>5.439814814814925E-4</v>
      </c>
      <c r="I30" s="7">
        <v>28</v>
      </c>
      <c r="J30" s="6">
        <v>0.63228009259259255</v>
      </c>
      <c r="K30" s="6">
        <v>0.63238425925925923</v>
      </c>
      <c r="L30" s="6">
        <v>0.63284722222222223</v>
      </c>
      <c r="M30" s="6">
        <f t="shared" si="0"/>
        <v>1.0416666666668295E-4</v>
      </c>
      <c r="N30" s="6">
        <f t="shared" si="1"/>
        <v>4.6296296296299833E-4</v>
      </c>
      <c r="P30" s="1"/>
    </row>
    <row r="31" spans="1:16" x14ac:dyDescent="0.45">
      <c r="A31" s="7">
        <v>29</v>
      </c>
      <c r="B31" s="6">
        <v>0.632349537037037</v>
      </c>
      <c r="C31" s="6">
        <v>0.63262731481481482</v>
      </c>
      <c r="D31" s="6">
        <v>0.63337962962962968</v>
      </c>
      <c r="E31" s="6">
        <v>2.777777777778212E-4</v>
      </c>
      <c r="F31" s="6">
        <v>7.523148148148584E-4</v>
      </c>
      <c r="G31" t="s">
        <v>0</v>
      </c>
      <c r="I31" s="7">
        <v>29</v>
      </c>
      <c r="J31" s="6">
        <v>0.63290509259259264</v>
      </c>
      <c r="K31" s="6">
        <v>0.63298611111111114</v>
      </c>
      <c r="L31" s="6">
        <v>0.63365740740740739</v>
      </c>
      <c r="M31" s="6">
        <f t="shared" si="0"/>
        <v>8.1018518518494176E-5</v>
      </c>
      <c r="N31" s="6">
        <f t="shared" si="1"/>
        <v>6.712962962962532E-4</v>
      </c>
      <c r="P31" s="1"/>
    </row>
    <row r="32" spans="1:16" x14ac:dyDescent="0.45">
      <c r="A32" s="7">
        <v>30</v>
      </c>
      <c r="B32" s="6">
        <v>0.63254629629629633</v>
      </c>
      <c r="C32" s="6">
        <v>0.63337962962962968</v>
      </c>
      <c r="D32" s="6">
        <v>0.63427083333333334</v>
      </c>
      <c r="E32" s="6">
        <v>8.3333333333335258E-4</v>
      </c>
      <c r="F32" s="6">
        <v>8.9120370370365798E-4</v>
      </c>
      <c r="I32" s="7">
        <v>30</v>
      </c>
      <c r="J32" s="6">
        <v>0.63329861111111108</v>
      </c>
      <c r="K32" s="6">
        <v>0.63372685185185185</v>
      </c>
      <c r="L32" s="6">
        <v>0.63430555555555557</v>
      </c>
      <c r="M32" s="6">
        <f t="shared" si="0"/>
        <v>4.2824074074077068E-4</v>
      </c>
      <c r="N32" s="6">
        <f t="shared" si="1"/>
        <v>5.7870370370372015E-4</v>
      </c>
      <c r="P32" s="1"/>
    </row>
    <row r="33" spans="1:16" x14ac:dyDescent="0.45">
      <c r="B33" s="6">
        <v>0.63427083333333334</v>
      </c>
      <c r="C33" s="6" t="s">
        <v>2</v>
      </c>
      <c r="D33" s="6">
        <v>0.64839120370370373</v>
      </c>
      <c r="E33" s="6"/>
      <c r="F33" s="6"/>
      <c r="G33" t="s">
        <v>3</v>
      </c>
      <c r="I33" s="7">
        <v>31</v>
      </c>
      <c r="J33" s="6">
        <v>0.63334490740740745</v>
      </c>
      <c r="K33" s="6">
        <v>0.63458333333333339</v>
      </c>
      <c r="L33" s="6">
        <v>0.63537037037037036</v>
      </c>
      <c r="M33" s="6">
        <f t="shared" si="0"/>
        <v>1.2384259259259345E-3</v>
      </c>
      <c r="N33" s="6">
        <f t="shared" si="1"/>
        <v>7.8703703703697503E-4</v>
      </c>
      <c r="O33" t="s">
        <v>15</v>
      </c>
      <c r="P33" s="1"/>
    </row>
    <row r="34" spans="1:16" x14ac:dyDescent="0.45">
      <c r="A34" s="7">
        <v>31</v>
      </c>
      <c r="B34" s="6">
        <v>0.64842592592592596</v>
      </c>
      <c r="C34" s="6">
        <v>0.64842592592592596</v>
      </c>
      <c r="D34" s="6">
        <v>0.64917824074074071</v>
      </c>
      <c r="E34" s="6">
        <v>0</v>
      </c>
      <c r="F34" s="6">
        <v>7.5231481481474738E-4</v>
      </c>
      <c r="I34" s="7">
        <v>32</v>
      </c>
      <c r="J34" s="6">
        <v>0.63399305555555552</v>
      </c>
      <c r="K34" s="6">
        <v>0.63542824074074078</v>
      </c>
      <c r="L34" s="6">
        <v>0.63599537037037035</v>
      </c>
      <c r="M34" s="6">
        <f t="shared" si="0"/>
        <v>1.4351851851852615E-3</v>
      </c>
      <c r="N34" s="6">
        <f t="shared" si="1"/>
        <v>5.6712962962957025E-4</v>
      </c>
      <c r="P34" s="1"/>
    </row>
    <row r="35" spans="1:16" x14ac:dyDescent="0.45">
      <c r="A35" s="7">
        <v>32</v>
      </c>
      <c r="B35" s="6">
        <v>0.64922453703703709</v>
      </c>
      <c r="C35" s="6">
        <v>0.64922453703703709</v>
      </c>
      <c r="D35" s="6">
        <v>0.65001157407407406</v>
      </c>
      <c r="E35" s="6">
        <v>0</v>
      </c>
      <c r="F35" s="6">
        <v>7.8703703703697503E-4</v>
      </c>
      <c r="I35" s="7">
        <v>33</v>
      </c>
      <c r="J35" s="6">
        <v>0.63415509259259262</v>
      </c>
      <c r="K35" s="6">
        <v>0.63606481481481481</v>
      </c>
      <c r="L35" s="6">
        <v>0.63645833333333335</v>
      </c>
      <c r="M35" s="6">
        <f t="shared" si="0"/>
        <v>1.9097222222221877E-3</v>
      </c>
      <c r="N35" s="6">
        <f t="shared" si="1"/>
        <v>3.9351851851854303E-4</v>
      </c>
      <c r="P35" s="1"/>
    </row>
    <row r="36" spans="1:16" x14ac:dyDescent="0.45">
      <c r="A36" s="7">
        <v>33</v>
      </c>
      <c r="B36" s="6">
        <v>0.64945601851851853</v>
      </c>
      <c r="C36" s="6">
        <v>0.65001157407407406</v>
      </c>
      <c r="D36" s="6">
        <v>0.65136574074074072</v>
      </c>
      <c r="E36" s="6">
        <v>5.5555555555553138E-4</v>
      </c>
      <c r="F36" s="6">
        <v>1.3541666666666563E-3</v>
      </c>
      <c r="G36" t="s">
        <v>0</v>
      </c>
      <c r="I36" s="7">
        <v>34</v>
      </c>
      <c r="J36" s="6">
        <v>0.63717592592592598</v>
      </c>
      <c r="K36" s="6">
        <v>0.6374305555555555</v>
      </c>
      <c r="L36" s="6">
        <v>0.63792824074074073</v>
      </c>
      <c r="M36" s="6">
        <f t="shared" si="0"/>
        <v>2.546296296295214E-4</v>
      </c>
      <c r="N36" s="6">
        <f t="shared" si="1"/>
        <v>4.9768518518522598E-4</v>
      </c>
      <c r="P36" s="1"/>
    </row>
    <row r="37" spans="1:16" x14ac:dyDescent="0.45">
      <c r="A37" s="7">
        <v>34</v>
      </c>
      <c r="B37" s="6">
        <v>0.65071759259259254</v>
      </c>
      <c r="C37" s="6">
        <v>0.65136574074074072</v>
      </c>
      <c r="D37" s="6">
        <v>0.65211805555555558</v>
      </c>
      <c r="E37" s="6">
        <v>6.4814814814817545E-4</v>
      </c>
      <c r="F37" s="6">
        <v>7.523148148148584E-4</v>
      </c>
      <c r="I37" s="7">
        <v>35</v>
      </c>
      <c r="J37" s="6">
        <v>0.638275462962963</v>
      </c>
      <c r="K37" s="6">
        <v>0.63847222222222222</v>
      </c>
      <c r="L37" s="6">
        <v>0.6391782407407407</v>
      </c>
      <c r="M37" s="6">
        <f t="shared" si="0"/>
        <v>1.96759259259216E-4</v>
      </c>
      <c r="N37" s="6">
        <f t="shared" si="1"/>
        <v>7.0601851851848085E-4</v>
      </c>
      <c r="P37" s="1"/>
    </row>
    <row r="38" spans="1:16" x14ac:dyDescent="0.45">
      <c r="A38" s="7">
        <v>35</v>
      </c>
      <c r="B38" s="6">
        <v>0.65074074074074073</v>
      </c>
      <c r="C38" s="6">
        <v>0.65211805555555558</v>
      </c>
      <c r="D38" s="6">
        <v>0.65267361111111111</v>
      </c>
      <c r="E38" s="6">
        <v>1.3773148148148451E-3</v>
      </c>
      <c r="F38" s="6">
        <v>5.5555555555553138E-4</v>
      </c>
      <c r="I38" s="7">
        <v>36</v>
      </c>
      <c r="J38" s="6">
        <v>0.63929398148148153</v>
      </c>
      <c r="K38" s="6">
        <v>0.63944444444444448</v>
      </c>
      <c r="L38" s="6">
        <v>0.63981481481481484</v>
      </c>
      <c r="M38" s="6">
        <f t="shared" si="0"/>
        <v>1.5046296296294948E-4</v>
      </c>
      <c r="N38" s="6">
        <f t="shared" si="1"/>
        <v>3.7037037037035425E-4</v>
      </c>
      <c r="P38" s="1"/>
    </row>
    <row r="39" spans="1:16" x14ac:dyDescent="0.45">
      <c r="A39" s="7">
        <v>36</v>
      </c>
      <c r="B39" s="6">
        <v>0.6516319444444445</v>
      </c>
      <c r="C39" s="6">
        <v>0.65267361111111111</v>
      </c>
      <c r="D39" s="6">
        <v>0.65333333333333332</v>
      </c>
      <c r="E39" s="6">
        <v>1.0416666666666075E-3</v>
      </c>
      <c r="F39" s="6">
        <v>6.5972222222221433E-4</v>
      </c>
      <c r="I39" s="7">
        <v>37</v>
      </c>
      <c r="J39" s="6">
        <v>0.63962962962962966</v>
      </c>
      <c r="K39" s="6">
        <v>0.63991898148148152</v>
      </c>
      <c r="L39" s="6">
        <v>0.640625</v>
      </c>
      <c r="M39" s="6">
        <f t="shared" si="0"/>
        <v>2.8935185185186008E-4</v>
      </c>
      <c r="N39" s="6">
        <f t="shared" si="1"/>
        <v>7.0601851851848085E-4</v>
      </c>
      <c r="P39" s="1"/>
    </row>
    <row r="40" spans="1:16" x14ac:dyDescent="0.45">
      <c r="A40" s="7">
        <v>37</v>
      </c>
      <c r="B40" s="6">
        <v>0.65192129629629625</v>
      </c>
      <c r="C40" s="6">
        <v>0.65333333333333332</v>
      </c>
      <c r="D40" s="6">
        <v>0.65394675925925927</v>
      </c>
      <c r="E40" s="6">
        <v>1.4120370370370727E-3</v>
      </c>
      <c r="F40" s="6">
        <v>6.134259259259478E-4</v>
      </c>
      <c r="I40" s="7">
        <v>38</v>
      </c>
      <c r="J40" s="6">
        <v>0.63966435185185189</v>
      </c>
      <c r="K40" s="6">
        <v>0.64076388888888891</v>
      </c>
      <c r="L40" s="6">
        <v>0.64120370370370372</v>
      </c>
      <c r="M40" s="6">
        <f t="shared" si="0"/>
        <v>1.0995370370370239E-3</v>
      </c>
      <c r="N40" s="6">
        <f t="shared" si="1"/>
        <v>4.3981481481480955E-4</v>
      </c>
      <c r="P40" s="1"/>
    </row>
    <row r="41" spans="1:16" x14ac:dyDescent="0.45">
      <c r="A41" s="7">
        <v>38</v>
      </c>
      <c r="B41" s="6">
        <v>0.65304398148148146</v>
      </c>
      <c r="C41" s="6">
        <v>0.65394675925925927</v>
      </c>
      <c r="D41" s="6">
        <v>0.65491898148148153</v>
      </c>
      <c r="E41" s="6">
        <v>9.0277777777780788E-4</v>
      </c>
      <c r="F41" s="6">
        <v>9.7222222222226318E-4</v>
      </c>
      <c r="I41" s="7">
        <v>39</v>
      </c>
      <c r="J41" s="6">
        <v>0.64200231481481485</v>
      </c>
      <c r="K41" s="6">
        <v>0.64210648148148153</v>
      </c>
      <c r="L41" s="6">
        <v>0.64249999999999996</v>
      </c>
      <c r="M41" s="6">
        <f t="shared" si="0"/>
        <v>1.0416666666668295E-4</v>
      </c>
      <c r="N41" s="6">
        <f t="shared" si="1"/>
        <v>3.93518518518432E-4</v>
      </c>
      <c r="P41" s="1"/>
    </row>
    <row r="42" spans="1:16" x14ac:dyDescent="0.45">
      <c r="A42" s="7">
        <v>39</v>
      </c>
      <c r="B42" s="6">
        <v>0.65418981481481486</v>
      </c>
      <c r="C42" s="6">
        <v>0.65491898148148153</v>
      </c>
      <c r="D42" s="6">
        <v>0.65619212962962958</v>
      </c>
      <c r="E42" s="6">
        <v>7.2916666666666963E-4</v>
      </c>
      <c r="F42" s="6">
        <v>1.2731481481480511E-3</v>
      </c>
      <c r="I42" s="7">
        <v>40</v>
      </c>
      <c r="J42" s="6">
        <v>0.64211805555555557</v>
      </c>
      <c r="K42" s="6">
        <v>0.6425925925925926</v>
      </c>
      <c r="L42" s="6">
        <v>0.64366898148148144</v>
      </c>
      <c r="M42" s="6">
        <f t="shared" si="0"/>
        <v>4.745370370370372E-4</v>
      </c>
      <c r="N42" s="6">
        <f t="shared" si="1"/>
        <v>1.0763888888888351E-3</v>
      </c>
      <c r="P42" s="1"/>
    </row>
    <row r="43" spans="1:16" x14ac:dyDescent="0.45">
      <c r="A43" s="7">
        <v>40</v>
      </c>
      <c r="B43" s="6">
        <v>0.65474537037037039</v>
      </c>
      <c r="C43" s="6">
        <v>0.65619212962962958</v>
      </c>
      <c r="D43" s="6">
        <v>0.65697916666666667</v>
      </c>
      <c r="E43" s="6">
        <v>1.4467592592591894E-3</v>
      </c>
      <c r="F43" s="6">
        <v>7.8703703703708605E-4</v>
      </c>
      <c r="I43" s="7">
        <v>41</v>
      </c>
      <c r="J43" s="6">
        <v>0.64354166666666668</v>
      </c>
      <c r="K43" s="6">
        <v>0.64394675925925926</v>
      </c>
      <c r="L43" s="6">
        <v>0.64418981481481485</v>
      </c>
      <c r="M43" s="6">
        <f t="shared" si="0"/>
        <v>4.050925925925819E-4</v>
      </c>
      <c r="N43" s="6">
        <f t="shared" si="1"/>
        <v>2.4305555555559355E-4</v>
      </c>
      <c r="P43" s="1"/>
    </row>
    <row r="44" spans="1:16" x14ac:dyDescent="0.45">
      <c r="A44" s="7">
        <v>41</v>
      </c>
      <c r="B44" s="6">
        <v>0.6552662037037037</v>
      </c>
      <c r="C44" s="6">
        <v>0.65697916666666667</v>
      </c>
      <c r="D44" s="6">
        <v>0.65784722222222225</v>
      </c>
      <c r="E44" s="6">
        <v>1.7129629629629717E-3</v>
      </c>
      <c r="F44" s="6">
        <v>8.6805555555558023E-4</v>
      </c>
      <c r="I44" s="7">
        <v>42</v>
      </c>
      <c r="J44" s="6">
        <v>0.64421296296296293</v>
      </c>
      <c r="K44" s="6">
        <v>0.64439814814814811</v>
      </c>
      <c r="L44" s="6">
        <v>0.64523148148148146</v>
      </c>
      <c r="M44" s="6">
        <f t="shared" si="0"/>
        <v>1.8518518518517713E-4</v>
      </c>
      <c r="N44" s="6">
        <f t="shared" si="1"/>
        <v>8.3333333333335258E-4</v>
      </c>
      <c r="P44" s="1"/>
    </row>
    <row r="45" spans="1:16" x14ac:dyDescent="0.45">
      <c r="A45" s="7">
        <v>42</v>
      </c>
      <c r="B45" s="6">
        <v>0.65651620370370367</v>
      </c>
      <c r="C45" s="6">
        <v>0.65784722222222225</v>
      </c>
      <c r="D45" s="6">
        <v>0.6584606481481482</v>
      </c>
      <c r="E45" s="6">
        <v>1.3310185185185786E-3</v>
      </c>
      <c r="F45" s="6">
        <v>6.134259259259478E-4</v>
      </c>
      <c r="I45" s="7">
        <v>43</v>
      </c>
      <c r="J45" s="6">
        <v>0.64526620370370369</v>
      </c>
      <c r="K45" s="6">
        <v>0.64538194444444441</v>
      </c>
      <c r="L45" s="6">
        <v>0.64584490740740741</v>
      </c>
      <c r="M45" s="6">
        <f t="shared" si="0"/>
        <v>1.1574074074072183E-4</v>
      </c>
      <c r="N45" s="6">
        <f t="shared" si="1"/>
        <v>4.6296296296299833E-4</v>
      </c>
      <c r="P45" s="1"/>
    </row>
    <row r="46" spans="1:16" x14ac:dyDescent="0.45">
      <c r="A46" s="7">
        <v>43</v>
      </c>
      <c r="B46" s="6">
        <v>0.65741898148148148</v>
      </c>
      <c r="C46" s="6">
        <v>0.6584606481481482</v>
      </c>
      <c r="D46" s="6">
        <v>0.65943287037037035</v>
      </c>
      <c r="E46" s="6">
        <v>1.0416666666667185E-3</v>
      </c>
      <c r="F46" s="6">
        <v>9.7222222222215215E-4</v>
      </c>
      <c r="I46" s="7">
        <v>44</v>
      </c>
      <c r="J46" s="6">
        <v>0.64533564814814814</v>
      </c>
      <c r="K46" s="6">
        <v>0.64591435185185186</v>
      </c>
      <c r="L46" s="6">
        <v>0.64643518518518517</v>
      </c>
      <c r="M46" s="6">
        <f t="shared" si="0"/>
        <v>5.7870370370372015E-4</v>
      </c>
      <c r="N46" s="6">
        <f t="shared" si="1"/>
        <v>5.2083333333330373E-4</v>
      </c>
      <c r="P46" s="1"/>
    </row>
    <row r="47" spans="1:16" x14ac:dyDescent="0.45">
      <c r="A47" s="7">
        <v>44</v>
      </c>
      <c r="B47" s="6">
        <v>0.65837962962962959</v>
      </c>
      <c r="C47" s="6">
        <v>0.65943287037037035</v>
      </c>
      <c r="D47" s="6">
        <v>0.66060185185185183</v>
      </c>
      <c r="E47" s="6">
        <v>1.0532407407407574E-3</v>
      </c>
      <c r="F47" s="6">
        <v>1.1689814814814792E-3</v>
      </c>
      <c r="I47" s="7">
        <v>45</v>
      </c>
      <c r="J47" s="6">
        <v>0.64554398148148151</v>
      </c>
      <c r="K47" s="6">
        <v>0.64645833333333336</v>
      </c>
      <c r="L47" s="6">
        <v>0.64709490740740738</v>
      </c>
      <c r="M47" s="6">
        <f t="shared" si="0"/>
        <v>9.1435185185184675E-4</v>
      </c>
      <c r="N47" s="6">
        <f t="shared" si="1"/>
        <v>6.3657407407402555E-4</v>
      </c>
      <c r="O47" t="s">
        <v>15</v>
      </c>
      <c r="P47" s="1"/>
    </row>
    <row r="48" spans="1:16" x14ac:dyDescent="0.45">
      <c r="A48" s="7">
        <v>45</v>
      </c>
      <c r="B48" s="6">
        <v>0.6588194444444444</v>
      </c>
      <c r="C48" s="6">
        <v>0.66060185185185183</v>
      </c>
      <c r="D48" s="6">
        <v>0.66126157407407404</v>
      </c>
      <c r="E48" s="6">
        <v>1.782407407407427E-3</v>
      </c>
      <c r="F48" s="6">
        <v>6.5972222222221433E-4</v>
      </c>
      <c r="I48" s="7">
        <v>46</v>
      </c>
      <c r="J48" s="6">
        <v>0.64618055555555554</v>
      </c>
      <c r="K48" s="6">
        <v>0.64719907407407407</v>
      </c>
      <c r="L48" s="6">
        <v>0.6482175925925926</v>
      </c>
      <c r="M48" s="6">
        <f t="shared" si="0"/>
        <v>1.0185185185185297E-3</v>
      </c>
      <c r="N48" s="6">
        <f t="shared" si="1"/>
        <v>1.0185185185185297E-3</v>
      </c>
      <c r="P48" s="1"/>
    </row>
    <row r="49" spans="1:16" x14ac:dyDescent="0.45">
      <c r="A49" s="7">
        <v>46</v>
      </c>
      <c r="B49" s="6">
        <v>0.6603472222222222</v>
      </c>
      <c r="C49" s="6">
        <v>0.66126157407407404</v>
      </c>
      <c r="D49" s="6">
        <v>0.66218750000000004</v>
      </c>
      <c r="E49" s="6">
        <v>9.1435185185184675E-4</v>
      </c>
      <c r="F49" s="6">
        <v>9.2592592592599665E-4</v>
      </c>
      <c r="I49" s="7">
        <v>47</v>
      </c>
      <c r="J49" s="6">
        <v>0.64781250000000001</v>
      </c>
      <c r="K49" s="6">
        <v>0.64835648148148151</v>
      </c>
      <c r="L49" s="6">
        <v>0.64863425925925922</v>
      </c>
      <c r="M49" s="6">
        <f t="shared" si="0"/>
        <v>5.439814814814925E-4</v>
      </c>
      <c r="N49" s="6">
        <f t="shared" si="1"/>
        <v>2.7777777777771018E-4</v>
      </c>
      <c r="P49" s="1"/>
    </row>
    <row r="50" spans="1:16" x14ac:dyDescent="0.45">
      <c r="A50" s="7">
        <v>47</v>
      </c>
      <c r="B50" s="6">
        <v>0.66116898148148151</v>
      </c>
      <c r="C50" s="6">
        <v>0.66218750000000004</v>
      </c>
      <c r="D50" s="6">
        <v>0.66297453703703701</v>
      </c>
      <c r="E50" s="6">
        <v>1.0185185185185297E-3</v>
      </c>
      <c r="F50" s="6">
        <v>7.8703703703697503E-4</v>
      </c>
      <c r="I50" s="7">
        <v>48</v>
      </c>
      <c r="J50" s="6">
        <v>0.64802083333333338</v>
      </c>
      <c r="K50" s="6">
        <v>0.64885416666666662</v>
      </c>
      <c r="L50" s="6">
        <v>0.64909722222222221</v>
      </c>
      <c r="M50" s="6">
        <f t="shared" si="0"/>
        <v>8.3333333333324155E-4</v>
      </c>
      <c r="N50" s="6">
        <f t="shared" si="1"/>
        <v>2.4305555555559355E-4</v>
      </c>
      <c r="P50" s="1"/>
    </row>
    <row r="51" spans="1:16" x14ac:dyDescent="0.45">
      <c r="A51" s="7">
        <v>48</v>
      </c>
      <c r="B51" s="6">
        <v>0.66177083333333331</v>
      </c>
      <c r="C51" s="6">
        <v>0.66297453703703701</v>
      </c>
      <c r="D51" s="6">
        <v>0.66387731481481482</v>
      </c>
      <c r="E51" s="6">
        <v>1.2037037037037068E-3</v>
      </c>
      <c r="F51" s="6">
        <v>9.0277777777780788E-4</v>
      </c>
      <c r="I51" s="7">
        <v>49</v>
      </c>
      <c r="J51" s="6">
        <v>0.64872685185185186</v>
      </c>
      <c r="K51" s="6">
        <v>0.64927083333333335</v>
      </c>
      <c r="L51" s="6">
        <v>0.64967592592592593</v>
      </c>
      <c r="M51" s="6">
        <f t="shared" si="0"/>
        <v>5.439814814814925E-4</v>
      </c>
      <c r="N51" s="6">
        <f t="shared" si="1"/>
        <v>4.050925925925819E-4</v>
      </c>
      <c r="P51" s="1"/>
    </row>
    <row r="52" spans="1:16" x14ac:dyDescent="0.45">
      <c r="A52" s="7">
        <v>49</v>
      </c>
      <c r="B52" s="6">
        <v>0.66202546296296294</v>
      </c>
      <c r="C52" s="6">
        <v>0.66387731481481482</v>
      </c>
      <c r="D52" s="6">
        <v>0.66488425925925931</v>
      </c>
      <c r="E52" s="6">
        <v>1.8518518518518823E-3</v>
      </c>
      <c r="F52" s="6">
        <v>1.0069444444444908E-3</v>
      </c>
      <c r="I52" s="7">
        <v>50</v>
      </c>
      <c r="J52" s="6">
        <v>0.64938657407407407</v>
      </c>
      <c r="K52" s="6">
        <v>0.64984953703703707</v>
      </c>
      <c r="L52" s="6">
        <v>0.6506481481481482</v>
      </c>
      <c r="M52" s="6">
        <f t="shared" si="0"/>
        <v>4.6296296296299833E-4</v>
      </c>
      <c r="N52" s="6">
        <f t="shared" si="1"/>
        <v>7.9861111111112493E-4</v>
      </c>
      <c r="P52" s="1"/>
    </row>
    <row r="53" spans="1:16" x14ac:dyDescent="0.45">
      <c r="A53" s="7">
        <v>50</v>
      </c>
      <c r="B53" s="6">
        <v>0.6628356481481481</v>
      </c>
      <c r="C53" s="6">
        <v>0.66488425925925931</v>
      </c>
      <c r="D53" s="6">
        <v>0.66532407407407412</v>
      </c>
      <c r="E53" s="6">
        <v>2.0486111111112093E-3</v>
      </c>
      <c r="F53" s="6">
        <v>4.3981481481480955E-4</v>
      </c>
      <c r="I53" s="7">
        <v>51</v>
      </c>
      <c r="J53" s="6">
        <v>0.64949074074074076</v>
      </c>
      <c r="K53" s="6">
        <v>0.6508680555555556</v>
      </c>
      <c r="L53" s="6">
        <v>0.65120370370370373</v>
      </c>
      <c r="M53" s="6">
        <f t="shared" si="0"/>
        <v>1.3773148148148451E-3</v>
      </c>
      <c r="N53" s="6">
        <f t="shared" si="1"/>
        <v>3.356481481481266E-4</v>
      </c>
      <c r="P53" s="1"/>
    </row>
    <row r="54" spans="1:16" x14ac:dyDescent="0.45">
      <c r="A54" s="7">
        <v>51</v>
      </c>
      <c r="B54" s="6">
        <v>0.66334490740740737</v>
      </c>
      <c r="C54" s="6">
        <v>0.66532407407407412</v>
      </c>
      <c r="D54" s="6">
        <v>0.66575231481481478</v>
      </c>
      <c r="E54" s="6">
        <v>1.979166666666754E-3</v>
      </c>
      <c r="F54" s="6">
        <v>4.2824074074065965E-4</v>
      </c>
      <c r="I54" s="7">
        <v>52</v>
      </c>
      <c r="J54" s="6">
        <v>0.65009259259259256</v>
      </c>
      <c r="K54" s="6">
        <v>0.65141203703703698</v>
      </c>
      <c r="L54" s="6">
        <v>0.65196759259259263</v>
      </c>
      <c r="M54" s="6">
        <f t="shared" si="0"/>
        <v>1.3194444444444287E-3</v>
      </c>
      <c r="N54" s="6">
        <f t="shared" si="1"/>
        <v>5.555555555556424E-4</v>
      </c>
      <c r="P54" s="1"/>
    </row>
    <row r="55" spans="1:16" x14ac:dyDescent="0.45">
      <c r="A55" s="7">
        <v>52</v>
      </c>
      <c r="B55" s="6">
        <v>0.66459490740740745</v>
      </c>
      <c r="C55" s="6">
        <v>0.66575231481481478</v>
      </c>
      <c r="D55" s="6">
        <v>0.66615740740740736</v>
      </c>
      <c r="E55" s="6">
        <v>1.1574074074073293E-3</v>
      </c>
      <c r="F55" s="6">
        <v>4.050925925925819E-4</v>
      </c>
      <c r="I55" s="7">
        <v>53</v>
      </c>
      <c r="J55" s="6">
        <v>0.65034722222222219</v>
      </c>
      <c r="K55" s="6">
        <v>0.65238425925925925</v>
      </c>
      <c r="L55" s="6">
        <v>0.65271990740740737</v>
      </c>
      <c r="M55" s="6">
        <f t="shared" si="0"/>
        <v>2.0370370370370594E-3</v>
      </c>
      <c r="N55" s="6">
        <f t="shared" si="1"/>
        <v>3.356481481481266E-4</v>
      </c>
      <c r="P55" s="1"/>
    </row>
    <row r="56" spans="1:16" x14ac:dyDescent="0.45">
      <c r="A56" s="7">
        <v>53</v>
      </c>
      <c r="B56" s="6">
        <v>0.66613425925925929</v>
      </c>
      <c r="C56" s="6">
        <v>0.66615740740740736</v>
      </c>
      <c r="D56" s="6">
        <v>0.66745370370370372</v>
      </c>
      <c r="E56" s="6">
        <v>2.3148148148077752E-5</v>
      </c>
      <c r="F56" s="6">
        <v>1.2962962962963509E-3</v>
      </c>
      <c r="I56" s="7">
        <v>54</v>
      </c>
      <c r="J56" s="6">
        <v>0.65142361111111113</v>
      </c>
      <c r="K56" s="6">
        <v>0.65303240740740742</v>
      </c>
      <c r="L56" s="6">
        <v>0.65332175925925928</v>
      </c>
      <c r="M56" s="6">
        <f t="shared" si="0"/>
        <v>1.6087962962962887E-3</v>
      </c>
      <c r="N56" s="6">
        <f t="shared" si="1"/>
        <v>2.8935185185186008E-4</v>
      </c>
      <c r="P56" s="1"/>
    </row>
    <row r="57" spans="1:16" x14ac:dyDescent="0.45">
      <c r="A57" s="7">
        <v>54</v>
      </c>
      <c r="B57" s="6">
        <v>0.66616898148148151</v>
      </c>
      <c r="C57" s="6">
        <v>0.66745370370370372</v>
      </c>
      <c r="D57" s="6">
        <v>0.66810185185185189</v>
      </c>
      <c r="E57" s="6">
        <v>1.284722222222201E-3</v>
      </c>
      <c r="F57" s="6">
        <v>6.4814814814817545E-4</v>
      </c>
      <c r="I57" s="7">
        <v>55</v>
      </c>
      <c r="J57" s="6">
        <v>0.65225694444444449</v>
      </c>
      <c r="K57" s="6">
        <v>0.65342592592592597</v>
      </c>
      <c r="L57" s="6">
        <v>0.65372685185185186</v>
      </c>
      <c r="M57" s="6">
        <f t="shared" si="0"/>
        <v>1.1689814814814792E-3</v>
      </c>
      <c r="N57" s="6">
        <f t="shared" si="1"/>
        <v>3.0092592592589895E-4</v>
      </c>
      <c r="P57" s="1"/>
    </row>
    <row r="58" spans="1:16" x14ac:dyDescent="0.45">
      <c r="A58" s="7">
        <v>55</v>
      </c>
      <c r="B58" s="6">
        <v>0.66763888888888889</v>
      </c>
      <c r="C58" s="6">
        <v>0.66810185185185189</v>
      </c>
      <c r="D58" s="6">
        <v>0.66903935185185182</v>
      </c>
      <c r="E58" s="6">
        <v>4.6296296296299833E-4</v>
      </c>
      <c r="F58" s="6">
        <v>9.374999999999245E-4</v>
      </c>
      <c r="I58" s="7">
        <v>56</v>
      </c>
      <c r="J58" s="6">
        <v>0.6538194444444444</v>
      </c>
      <c r="K58" s="6">
        <v>0.65424768518518517</v>
      </c>
      <c r="L58" s="6">
        <v>0.6557291666666667</v>
      </c>
      <c r="M58" s="6">
        <f t="shared" si="0"/>
        <v>4.2824074074077068E-4</v>
      </c>
      <c r="N58" s="6">
        <f t="shared" si="1"/>
        <v>1.481481481481528E-3</v>
      </c>
      <c r="P58" s="1"/>
    </row>
    <row r="59" spans="1:16" x14ac:dyDescent="0.45">
      <c r="A59" s="7">
        <v>56</v>
      </c>
      <c r="B59" s="6">
        <v>0.66791666666666671</v>
      </c>
      <c r="C59" s="6">
        <v>0.66903935185185182</v>
      </c>
      <c r="D59" s="6">
        <v>0.66986111111111113</v>
      </c>
      <c r="E59" s="6">
        <v>1.1226851851851016E-3</v>
      </c>
      <c r="F59" s="6">
        <v>8.217592592593137E-4</v>
      </c>
      <c r="I59" s="7">
        <v>57</v>
      </c>
      <c r="J59" s="6">
        <v>0.65427083333333336</v>
      </c>
      <c r="K59" s="6">
        <v>0.655787037037037</v>
      </c>
      <c r="L59" s="6">
        <v>0.65601851851851856</v>
      </c>
      <c r="M59" s="6">
        <f t="shared" si="0"/>
        <v>1.5162037037036447E-3</v>
      </c>
      <c r="N59" s="6">
        <f t="shared" si="1"/>
        <v>2.3148148148155467E-4</v>
      </c>
      <c r="O59" t="s">
        <v>0</v>
      </c>
      <c r="P59" s="1"/>
    </row>
    <row r="60" spans="1:16" x14ac:dyDescent="0.45">
      <c r="A60" s="7">
        <v>57</v>
      </c>
      <c r="B60" s="6">
        <v>0.66809027777777774</v>
      </c>
      <c r="C60" s="6">
        <v>0.66986111111111113</v>
      </c>
      <c r="D60" s="6">
        <v>0.67105324074074069</v>
      </c>
      <c r="E60" s="6">
        <v>1.7708333333333881E-3</v>
      </c>
      <c r="F60" s="6">
        <v>1.1921296296295569E-3</v>
      </c>
      <c r="G60" t="s">
        <v>0</v>
      </c>
      <c r="I60" s="7">
        <v>58</v>
      </c>
      <c r="J60" s="6">
        <v>0.65432870370370366</v>
      </c>
      <c r="K60" s="6">
        <v>0.65618055555555554</v>
      </c>
      <c r="L60" s="6">
        <v>0.65687499999999999</v>
      </c>
      <c r="M60" s="6">
        <f t="shared" si="0"/>
        <v>1.8518518518518823E-3</v>
      </c>
      <c r="N60" s="6">
        <f t="shared" si="1"/>
        <v>6.9444444444444198E-4</v>
      </c>
      <c r="P60" s="1"/>
    </row>
    <row r="61" spans="1:16" x14ac:dyDescent="0.45">
      <c r="A61" s="7">
        <v>58</v>
      </c>
      <c r="B61" s="6">
        <v>0.66865740740740742</v>
      </c>
      <c r="C61" s="6">
        <v>0.67105324074074069</v>
      </c>
      <c r="D61" s="6">
        <v>0.67196759259259264</v>
      </c>
      <c r="E61" s="6">
        <v>2.3958333333332638E-3</v>
      </c>
      <c r="F61" s="6">
        <v>9.1435185185195778E-4</v>
      </c>
      <c r="I61" s="7">
        <v>59</v>
      </c>
      <c r="J61" s="6">
        <v>0.65438657407407408</v>
      </c>
      <c r="K61" s="6">
        <v>0.65704861111111112</v>
      </c>
      <c r="L61" s="6">
        <v>0.65729166666666672</v>
      </c>
      <c r="M61" s="6">
        <f t="shared" si="0"/>
        <v>2.6620370370370461E-3</v>
      </c>
      <c r="N61" s="6">
        <f t="shared" si="1"/>
        <v>2.4305555555559355E-4</v>
      </c>
      <c r="P61" s="1"/>
    </row>
    <row r="62" spans="1:16" x14ac:dyDescent="0.45">
      <c r="I62" s="7">
        <v>60</v>
      </c>
      <c r="J62" s="8">
        <v>0.65668981481481481</v>
      </c>
      <c r="K62" s="8">
        <v>0.65746527777777775</v>
      </c>
      <c r="L62" s="8">
        <v>0.6578356481481481</v>
      </c>
      <c r="M62" s="6">
        <f t="shared" si="0"/>
        <v>7.7546296296293615E-4</v>
      </c>
      <c r="N62" s="6">
        <f t="shared" si="1"/>
        <v>3.7037037037035425E-4</v>
      </c>
      <c r="P62" s="1"/>
    </row>
    <row r="63" spans="1:16" x14ac:dyDescent="0.45">
      <c r="I63" s="7">
        <v>61</v>
      </c>
      <c r="J63" s="8">
        <v>0.65853009259259254</v>
      </c>
      <c r="K63" s="8">
        <v>0.65873842592592591</v>
      </c>
      <c r="L63" s="8">
        <v>0.65901620370370373</v>
      </c>
      <c r="M63" s="6">
        <f t="shared" si="0"/>
        <v>2.083333333333659E-4</v>
      </c>
      <c r="N63" s="6">
        <f t="shared" si="1"/>
        <v>2.777777777778212E-4</v>
      </c>
      <c r="P63" s="1"/>
    </row>
    <row r="64" spans="1:16" x14ac:dyDescent="0.45">
      <c r="I64" s="7">
        <v>62</v>
      </c>
      <c r="J64" s="8">
        <v>0.6586805555555556</v>
      </c>
      <c r="K64" s="8">
        <v>0.65932870370370367</v>
      </c>
      <c r="L64" s="8">
        <v>0.66082175925925923</v>
      </c>
      <c r="M64" s="6">
        <f t="shared" si="0"/>
        <v>6.4814814814806443E-4</v>
      </c>
      <c r="N64" s="6">
        <f t="shared" si="1"/>
        <v>1.4930555555555669E-3</v>
      </c>
      <c r="O64" t="s">
        <v>0</v>
      </c>
      <c r="P64" s="1"/>
    </row>
    <row r="65" spans="1:16" x14ac:dyDescent="0.45">
      <c r="I65" s="7">
        <v>63</v>
      </c>
      <c r="J65" s="8">
        <v>0.65960648148148149</v>
      </c>
      <c r="K65" s="8">
        <v>0.66099537037037037</v>
      </c>
      <c r="L65" s="8">
        <v>0.6618518518518518</v>
      </c>
      <c r="M65" s="6">
        <f t="shared" si="0"/>
        <v>1.388888888888884E-3</v>
      </c>
      <c r="N65" s="6">
        <f t="shared" si="1"/>
        <v>8.5648148148143033E-4</v>
      </c>
      <c r="P65" s="1"/>
    </row>
    <row r="66" spans="1:16" x14ac:dyDescent="0.45">
      <c r="I66" s="7">
        <v>64</v>
      </c>
      <c r="J66" s="8">
        <v>0.6597453703703704</v>
      </c>
      <c r="K66" s="8">
        <v>0.66192129629629626</v>
      </c>
      <c r="L66" s="8">
        <v>0.66212962962962962</v>
      </c>
      <c r="M66" s="6">
        <f t="shared" si="0"/>
        <v>2.175925925925859E-3</v>
      </c>
      <c r="N66" s="6">
        <f t="shared" si="1"/>
        <v>2.083333333333659E-4</v>
      </c>
      <c r="P66" s="1"/>
    </row>
    <row r="67" spans="1:16" x14ac:dyDescent="0.45">
      <c r="I67" s="7">
        <v>65</v>
      </c>
      <c r="J67" s="8">
        <v>0.66170138888888885</v>
      </c>
      <c r="K67" s="8">
        <v>0.66248842592592594</v>
      </c>
      <c r="L67" s="8">
        <v>0.66292824074074075</v>
      </c>
      <c r="M67" s="6">
        <f t="shared" si="0"/>
        <v>7.8703703703708605E-4</v>
      </c>
      <c r="N67" s="6">
        <f t="shared" si="1"/>
        <v>4.3981481481480955E-4</v>
      </c>
    </row>
    <row r="69" spans="1:16" x14ac:dyDescent="0.45">
      <c r="A69" t="s">
        <v>18</v>
      </c>
      <c r="I69" t="s">
        <v>19</v>
      </c>
      <c r="P69" s="1"/>
    </row>
    <row r="70" spans="1:16" x14ac:dyDescent="0.45">
      <c r="A70" s="3" t="s">
        <v>26</v>
      </c>
      <c r="B70" s="4" t="s">
        <v>5</v>
      </c>
      <c r="C70" s="4" t="s">
        <v>6</v>
      </c>
      <c r="D70" s="4" t="s">
        <v>7</v>
      </c>
      <c r="E70" s="4" t="s">
        <v>8</v>
      </c>
      <c r="F70" s="4" t="s">
        <v>10</v>
      </c>
      <c r="G70" s="5" t="s">
        <v>9</v>
      </c>
      <c r="I70" s="3" t="s">
        <v>4</v>
      </c>
      <c r="J70" s="4" t="s">
        <v>5</v>
      </c>
      <c r="K70" s="4" t="s">
        <v>6</v>
      </c>
      <c r="L70" s="4" t="s">
        <v>7</v>
      </c>
      <c r="M70" s="4" t="s">
        <v>8</v>
      </c>
      <c r="N70" s="4" t="s">
        <v>10</v>
      </c>
      <c r="O70" s="5" t="s">
        <v>9</v>
      </c>
      <c r="P70" s="1"/>
    </row>
    <row r="71" spans="1:16" x14ac:dyDescent="0.45">
      <c r="A71" s="7">
        <v>1</v>
      </c>
      <c r="B71" s="8">
        <v>0.60719907407407403</v>
      </c>
      <c r="C71" s="8">
        <v>0.60793981481481485</v>
      </c>
      <c r="D71" s="8">
        <v>0.60936342592592596</v>
      </c>
      <c r="E71" s="8">
        <f>$C71-$B71</f>
        <v>7.4074074074081953E-4</v>
      </c>
      <c r="F71" s="8">
        <f>$D71-$C71</f>
        <v>1.4236111111111116E-3</v>
      </c>
      <c r="I71" s="7">
        <v>1</v>
      </c>
      <c r="J71" s="8">
        <v>0.60711805555555554</v>
      </c>
      <c r="K71" s="8">
        <v>0.60711805555555554</v>
      </c>
      <c r="L71" s="8">
        <v>0.60827546296296298</v>
      </c>
      <c r="M71" s="8">
        <f>$K71-$J71</f>
        <v>0</v>
      </c>
      <c r="N71" s="8">
        <f>$L71-$K71</f>
        <v>1.1574074074074403E-3</v>
      </c>
      <c r="P71" s="1"/>
    </row>
    <row r="72" spans="1:16" x14ac:dyDescent="0.45">
      <c r="A72" s="7">
        <v>2</v>
      </c>
      <c r="B72" s="8">
        <v>0.60892361111111115</v>
      </c>
      <c r="C72" s="8">
        <v>0.60936342592592596</v>
      </c>
      <c r="D72" s="8">
        <v>0.60994212962962968</v>
      </c>
      <c r="E72" s="8">
        <f t="shared" ref="E72:E135" si="2">$C72-$B72</f>
        <v>4.3981481481480955E-4</v>
      </c>
      <c r="F72" s="8">
        <f t="shared" ref="F72:F135" si="3">$D72-$C72</f>
        <v>5.7870370370372015E-4</v>
      </c>
      <c r="G72" t="s">
        <v>21</v>
      </c>
      <c r="I72" s="7">
        <v>2</v>
      </c>
      <c r="J72" s="8">
        <v>0.6073263888888889</v>
      </c>
      <c r="K72" s="8">
        <v>0.60827546296296298</v>
      </c>
      <c r="L72" s="8">
        <v>0.6086921296296296</v>
      </c>
      <c r="M72" s="8">
        <f t="shared" ref="M72:M135" si="4">$K72-$J72</f>
        <v>9.490740740740744E-4</v>
      </c>
      <c r="N72" s="8">
        <f t="shared" ref="N72:N135" si="5">$L72-$K72</f>
        <v>4.1666666666662078E-4</v>
      </c>
      <c r="P72" s="1"/>
    </row>
    <row r="73" spans="1:16" x14ac:dyDescent="0.45">
      <c r="A73" s="7">
        <v>3</v>
      </c>
      <c r="B73" s="8">
        <v>0.609375</v>
      </c>
      <c r="C73" s="8">
        <v>0.60994212962962968</v>
      </c>
      <c r="D73" s="8">
        <v>0.6104398148148148</v>
      </c>
      <c r="E73" s="8">
        <f t="shared" si="2"/>
        <v>5.6712962962968128E-4</v>
      </c>
      <c r="F73" s="8">
        <f t="shared" si="3"/>
        <v>4.9768518518511495E-4</v>
      </c>
      <c r="I73" s="7">
        <v>3</v>
      </c>
      <c r="J73" s="8">
        <v>0.60773148148148148</v>
      </c>
      <c r="K73" s="8">
        <v>0.6086921296296296</v>
      </c>
      <c r="L73" s="8">
        <v>0.60964120370370367</v>
      </c>
      <c r="M73" s="8">
        <f t="shared" si="4"/>
        <v>9.6064814814811328E-4</v>
      </c>
      <c r="N73" s="8">
        <f t="shared" si="5"/>
        <v>9.490740740740744E-4</v>
      </c>
      <c r="O73" t="s">
        <v>0</v>
      </c>
      <c r="P73" s="1"/>
    </row>
    <row r="74" spans="1:16" x14ac:dyDescent="0.45">
      <c r="A74" s="7">
        <v>4</v>
      </c>
      <c r="B74" s="8">
        <v>0.61045138888888884</v>
      </c>
      <c r="C74" s="8">
        <v>0.61045138888888884</v>
      </c>
      <c r="D74" s="8">
        <v>0.61123842592592592</v>
      </c>
      <c r="E74" s="8">
        <f t="shared" si="2"/>
        <v>0</v>
      </c>
      <c r="F74" s="8">
        <f t="shared" si="3"/>
        <v>7.8703703703708605E-4</v>
      </c>
      <c r="I74" s="7">
        <v>4</v>
      </c>
      <c r="J74" s="8">
        <v>0.60883101851851851</v>
      </c>
      <c r="K74" s="8">
        <v>0.60964120370370367</v>
      </c>
      <c r="L74" s="8">
        <v>0.61109953703703701</v>
      </c>
      <c r="M74" s="8">
        <f t="shared" si="4"/>
        <v>8.101851851851638E-4</v>
      </c>
      <c r="N74" s="8">
        <f t="shared" si="5"/>
        <v>1.4583333333333393E-3</v>
      </c>
      <c r="O74" t="s">
        <v>0</v>
      </c>
      <c r="P74" s="1"/>
    </row>
    <row r="75" spans="1:16" x14ac:dyDescent="0.45">
      <c r="A75" s="7">
        <v>5</v>
      </c>
      <c r="B75" s="8">
        <v>0.61087962962962961</v>
      </c>
      <c r="C75" s="8">
        <v>0.61123842592592592</v>
      </c>
      <c r="D75" s="8">
        <v>0.61217592592592596</v>
      </c>
      <c r="E75" s="8">
        <f t="shared" si="2"/>
        <v>3.5879629629631538E-4</v>
      </c>
      <c r="F75" s="8">
        <f t="shared" si="3"/>
        <v>9.3750000000003553E-4</v>
      </c>
      <c r="I75" s="7">
        <v>5</v>
      </c>
      <c r="J75" s="8">
        <v>0.60914351851851856</v>
      </c>
      <c r="K75" s="8">
        <v>0.61109953703703701</v>
      </c>
      <c r="L75" s="8">
        <v>0.61199074074074078</v>
      </c>
      <c r="M75" s="8">
        <f t="shared" si="4"/>
        <v>1.9560185185184542E-3</v>
      </c>
      <c r="N75" s="8">
        <f t="shared" si="5"/>
        <v>8.91203703703769E-4</v>
      </c>
      <c r="P75" s="1"/>
    </row>
    <row r="76" spans="1:16" x14ac:dyDescent="0.45">
      <c r="A76" s="7">
        <v>6</v>
      </c>
      <c r="B76" s="8">
        <v>0.61324074074074075</v>
      </c>
      <c r="C76" s="8">
        <v>0.61324074074074075</v>
      </c>
      <c r="D76" s="8">
        <v>0.61361111111111111</v>
      </c>
      <c r="E76" s="8">
        <f t="shared" si="2"/>
        <v>0</v>
      </c>
      <c r="F76" s="8">
        <f t="shared" si="3"/>
        <v>3.7037037037035425E-4</v>
      </c>
      <c r="I76" s="7">
        <v>6</v>
      </c>
      <c r="J76" s="8">
        <v>0.6109606481481481</v>
      </c>
      <c r="K76" s="8">
        <v>0.61199074074074078</v>
      </c>
      <c r="L76" s="8">
        <v>0.61356481481481484</v>
      </c>
      <c r="M76" s="8">
        <f t="shared" si="4"/>
        <v>1.0300925925926796E-3</v>
      </c>
      <c r="N76" s="8">
        <f t="shared" si="5"/>
        <v>1.5740740740740611E-3</v>
      </c>
      <c r="P76" s="1"/>
    </row>
    <row r="77" spans="1:16" x14ac:dyDescent="0.45">
      <c r="A77" s="7">
        <v>7</v>
      </c>
      <c r="B77" s="8">
        <v>0.61375000000000002</v>
      </c>
      <c r="C77" s="8">
        <v>0.61375000000000002</v>
      </c>
      <c r="D77" s="8">
        <v>0.61499999999999999</v>
      </c>
      <c r="E77" s="8">
        <f t="shared" si="2"/>
        <v>0</v>
      </c>
      <c r="F77" s="8">
        <f t="shared" si="3"/>
        <v>1.2499999999999734E-3</v>
      </c>
      <c r="G77" t="s">
        <v>21</v>
      </c>
      <c r="I77" s="7">
        <v>7</v>
      </c>
      <c r="J77" s="8">
        <v>0.61273148148148149</v>
      </c>
      <c r="K77" s="8">
        <v>0.61356481481481484</v>
      </c>
      <c r="L77" s="8">
        <v>0.61449074074074073</v>
      </c>
      <c r="M77" s="8">
        <f t="shared" si="4"/>
        <v>8.3333333333335258E-4</v>
      </c>
      <c r="N77" s="8">
        <f t="shared" si="5"/>
        <v>9.2592592592588563E-4</v>
      </c>
      <c r="P77" s="1"/>
    </row>
    <row r="78" spans="1:16" x14ac:dyDescent="0.45">
      <c r="A78" s="7">
        <v>8</v>
      </c>
      <c r="B78" s="8">
        <v>0.61489583333333331</v>
      </c>
      <c r="C78" s="8">
        <v>0.61499999999999999</v>
      </c>
      <c r="D78" s="8">
        <v>0.61572916666666666</v>
      </c>
      <c r="E78" s="8">
        <f t="shared" si="2"/>
        <v>1.0416666666668295E-4</v>
      </c>
      <c r="F78" s="8">
        <f t="shared" si="3"/>
        <v>7.2916666666666963E-4</v>
      </c>
      <c r="I78" s="7">
        <v>8</v>
      </c>
      <c r="J78" s="8">
        <v>0.61393518518518519</v>
      </c>
      <c r="K78" s="8">
        <v>0.61449074074074073</v>
      </c>
      <c r="L78" s="8">
        <v>0.61495370370370372</v>
      </c>
      <c r="M78" s="8">
        <f t="shared" si="4"/>
        <v>5.5555555555553138E-4</v>
      </c>
      <c r="N78" s="8">
        <f t="shared" si="5"/>
        <v>4.6296296296299833E-4</v>
      </c>
      <c r="P78" s="1"/>
    </row>
    <row r="79" spans="1:16" x14ac:dyDescent="0.45">
      <c r="A79" s="7">
        <v>9</v>
      </c>
      <c r="B79" s="8">
        <v>0.61532407407407408</v>
      </c>
      <c r="C79" s="8">
        <v>0.61572916666666666</v>
      </c>
      <c r="D79" s="8">
        <v>0.61655092592592597</v>
      </c>
      <c r="E79" s="8">
        <f t="shared" si="2"/>
        <v>4.050925925925819E-4</v>
      </c>
      <c r="F79" s="8">
        <f t="shared" si="3"/>
        <v>8.217592592593137E-4</v>
      </c>
      <c r="I79" s="7">
        <v>9</v>
      </c>
      <c r="J79" s="8">
        <v>0.61547453703703703</v>
      </c>
      <c r="K79" s="8">
        <v>0.61547453703703703</v>
      </c>
      <c r="L79" s="8">
        <v>0.61618055555555551</v>
      </c>
      <c r="M79" s="8">
        <f t="shared" si="4"/>
        <v>0</v>
      </c>
      <c r="N79" s="8">
        <f t="shared" si="5"/>
        <v>7.0601851851848085E-4</v>
      </c>
      <c r="P79" s="1"/>
    </row>
    <row r="80" spans="1:16" x14ac:dyDescent="0.45">
      <c r="A80" s="7">
        <v>10</v>
      </c>
      <c r="B80" s="8">
        <v>0.61586805555555557</v>
      </c>
      <c r="C80" s="8">
        <v>0.61656250000000001</v>
      </c>
      <c r="D80" s="8">
        <v>0.61790509259259263</v>
      </c>
      <c r="E80" s="8">
        <f t="shared" si="2"/>
        <v>6.9444444444444198E-4</v>
      </c>
      <c r="F80" s="8">
        <f t="shared" si="3"/>
        <v>1.3425925925926174E-3</v>
      </c>
      <c r="I80" s="7">
        <v>10</v>
      </c>
      <c r="J80" s="8">
        <v>0.61568287037037039</v>
      </c>
      <c r="K80" s="8">
        <v>0.61618055555555551</v>
      </c>
      <c r="L80" s="8">
        <v>0.61709490740740736</v>
      </c>
      <c r="M80" s="8">
        <f t="shared" si="4"/>
        <v>4.9768518518511495E-4</v>
      </c>
      <c r="N80" s="8">
        <f t="shared" si="5"/>
        <v>9.1435185185184675E-4</v>
      </c>
      <c r="P80" s="1"/>
    </row>
    <row r="81" spans="1:16" x14ac:dyDescent="0.45">
      <c r="A81" s="7">
        <v>11</v>
      </c>
      <c r="B81" s="8">
        <v>0.61682870370370368</v>
      </c>
      <c r="C81" s="8">
        <v>0.61790509259259263</v>
      </c>
      <c r="D81" s="8">
        <v>0.61905092592592592</v>
      </c>
      <c r="E81" s="8">
        <f t="shared" si="2"/>
        <v>1.0763888888889461E-3</v>
      </c>
      <c r="F81" s="8">
        <f t="shared" si="3"/>
        <v>1.1458333333332904E-3</v>
      </c>
      <c r="I81" s="7">
        <v>11</v>
      </c>
      <c r="J81" s="8">
        <v>0.61662037037037032</v>
      </c>
      <c r="K81" s="8">
        <v>0.61709490740740736</v>
      </c>
      <c r="L81" s="8">
        <v>0.61755787037037035</v>
      </c>
      <c r="M81" s="8">
        <f t="shared" si="4"/>
        <v>4.745370370370372E-4</v>
      </c>
      <c r="N81" s="8">
        <f t="shared" si="5"/>
        <v>4.6296296296299833E-4</v>
      </c>
      <c r="P81" s="1"/>
    </row>
    <row r="82" spans="1:16" x14ac:dyDescent="0.45">
      <c r="A82" s="7">
        <v>12</v>
      </c>
      <c r="B82" s="8">
        <v>0.61792824074074071</v>
      </c>
      <c r="C82" s="8">
        <v>0.61905092592592592</v>
      </c>
      <c r="D82" s="8">
        <v>0.61932870370370374</v>
      </c>
      <c r="E82" s="8">
        <f t="shared" si="2"/>
        <v>1.1226851851852127E-3</v>
      </c>
      <c r="F82" s="8">
        <f t="shared" si="3"/>
        <v>2.777777777778212E-4</v>
      </c>
      <c r="I82" s="7">
        <v>12</v>
      </c>
      <c r="J82" s="8">
        <v>0.61729166666666668</v>
      </c>
      <c r="K82" s="8">
        <v>0.61755787037037035</v>
      </c>
      <c r="L82" s="8">
        <v>0.61824074074074076</v>
      </c>
      <c r="M82" s="8">
        <f t="shared" si="4"/>
        <v>2.662037037036713E-4</v>
      </c>
      <c r="N82" s="8">
        <f t="shared" si="5"/>
        <v>6.828703703704031E-4</v>
      </c>
      <c r="P82" s="1"/>
    </row>
    <row r="83" spans="1:16" x14ac:dyDescent="0.45">
      <c r="A83" s="7">
        <v>13</v>
      </c>
      <c r="B83" s="8">
        <v>0.61835648148148148</v>
      </c>
      <c r="C83" s="8">
        <v>0.61932870370370374</v>
      </c>
      <c r="D83" s="8">
        <v>0.61994212962962958</v>
      </c>
      <c r="E83" s="8">
        <f t="shared" si="2"/>
        <v>9.7222222222226318E-4</v>
      </c>
      <c r="F83" s="8">
        <f t="shared" si="3"/>
        <v>6.1342592592583678E-4</v>
      </c>
      <c r="G83" t="s">
        <v>21</v>
      </c>
      <c r="I83" s="7">
        <v>13</v>
      </c>
      <c r="J83" s="8">
        <v>0.61800925925925931</v>
      </c>
      <c r="K83" s="8">
        <v>0.61824074074074076</v>
      </c>
      <c r="L83" s="8">
        <v>0.61892361111111116</v>
      </c>
      <c r="M83" s="8">
        <f t="shared" si="4"/>
        <v>2.3148148148144365E-4</v>
      </c>
      <c r="N83" s="8">
        <f t="shared" si="5"/>
        <v>6.828703703704031E-4</v>
      </c>
      <c r="P83" s="1"/>
    </row>
    <row r="84" spans="1:16" x14ac:dyDescent="0.45">
      <c r="A84" s="7">
        <v>14</v>
      </c>
      <c r="B84" s="8">
        <v>0.61922453703703706</v>
      </c>
      <c r="C84" s="8">
        <v>0.61994212962962958</v>
      </c>
      <c r="D84" s="8">
        <v>0.62217592592592597</v>
      </c>
      <c r="E84" s="8">
        <f t="shared" si="2"/>
        <v>7.1759259259251973E-4</v>
      </c>
      <c r="F84" s="8">
        <f t="shared" si="3"/>
        <v>2.2337962962963864E-3</v>
      </c>
      <c r="G84" t="s">
        <v>13</v>
      </c>
      <c r="I84" s="7">
        <v>14</v>
      </c>
      <c r="J84" s="8">
        <v>0.6182523148148148</v>
      </c>
      <c r="K84" s="8">
        <v>0.61892361111111116</v>
      </c>
      <c r="L84" s="8">
        <v>0.619537037037037</v>
      </c>
      <c r="M84" s="8">
        <f t="shared" si="4"/>
        <v>6.7129629629636423E-4</v>
      </c>
      <c r="N84" s="8">
        <f t="shared" si="5"/>
        <v>6.1342592592583678E-4</v>
      </c>
      <c r="P84" s="1"/>
    </row>
    <row r="85" spans="1:16" x14ac:dyDescent="0.45">
      <c r="A85" s="7">
        <v>15</v>
      </c>
      <c r="B85" s="8">
        <v>0.62106481481481479</v>
      </c>
      <c r="C85" s="8">
        <v>0.62217592592592597</v>
      </c>
      <c r="D85" s="8">
        <v>0.62245370370370368</v>
      </c>
      <c r="E85" s="8">
        <f t="shared" si="2"/>
        <v>1.1111111111111738E-3</v>
      </c>
      <c r="F85" s="8">
        <f t="shared" si="3"/>
        <v>2.7777777777771018E-4</v>
      </c>
      <c r="I85" s="7">
        <v>15</v>
      </c>
      <c r="J85" s="8">
        <v>0.6184143518518519</v>
      </c>
      <c r="K85" s="8">
        <v>0.619537037037037</v>
      </c>
      <c r="L85" s="8">
        <v>0.62016203703703698</v>
      </c>
      <c r="M85" s="8">
        <f t="shared" si="4"/>
        <v>1.1226851851851016E-3</v>
      </c>
      <c r="N85" s="8">
        <f t="shared" si="5"/>
        <v>6.2499999999998668E-4</v>
      </c>
      <c r="P85" s="1"/>
    </row>
    <row r="86" spans="1:16" x14ac:dyDescent="0.45">
      <c r="A86" s="7">
        <v>16</v>
      </c>
      <c r="B86" s="8">
        <v>0.62113425925925925</v>
      </c>
      <c r="C86" s="8">
        <v>0.6225694444444444</v>
      </c>
      <c r="D86" s="8">
        <v>0.62296296296296294</v>
      </c>
      <c r="E86" s="8">
        <f t="shared" si="2"/>
        <v>1.4351851851851505E-3</v>
      </c>
      <c r="F86" s="8">
        <f t="shared" si="3"/>
        <v>3.9351851851854303E-4</v>
      </c>
      <c r="I86" s="7">
        <v>16</v>
      </c>
      <c r="J86" s="8">
        <v>0.61918981481481483</v>
      </c>
      <c r="K86" s="8">
        <v>0.62016203703703698</v>
      </c>
      <c r="L86" s="8">
        <v>0.62097222222222226</v>
      </c>
      <c r="M86" s="8">
        <f t="shared" si="4"/>
        <v>9.7222222222215215E-4</v>
      </c>
      <c r="N86" s="8">
        <f t="shared" si="5"/>
        <v>8.1018518518527483E-4</v>
      </c>
      <c r="P86" s="1"/>
    </row>
    <row r="87" spans="1:16" x14ac:dyDescent="0.45">
      <c r="A87" s="7">
        <v>17</v>
      </c>
      <c r="B87" s="8">
        <v>0.62263888888888885</v>
      </c>
      <c r="C87" s="8">
        <v>0.62296296296296294</v>
      </c>
      <c r="D87" s="8">
        <v>0.62372685185185184</v>
      </c>
      <c r="E87" s="8">
        <f t="shared" si="2"/>
        <v>3.2407407407408773E-4</v>
      </c>
      <c r="F87" s="8">
        <f t="shared" si="3"/>
        <v>7.6388888888889728E-4</v>
      </c>
      <c r="I87" s="7">
        <v>17</v>
      </c>
      <c r="J87" s="8">
        <v>0.62009259259259264</v>
      </c>
      <c r="K87" s="8">
        <v>0.62097222222222226</v>
      </c>
      <c r="L87" s="8">
        <v>0.62178240740740742</v>
      </c>
      <c r="M87" s="8">
        <f t="shared" si="4"/>
        <v>8.796296296296191E-4</v>
      </c>
      <c r="N87" s="8">
        <f t="shared" si="5"/>
        <v>8.101851851851638E-4</v>
      </c>
      <c r="P87" s="1"/>
    </row>
    <row r="88" spans="1:16" x14ac:dyDescent="0.45">
      <c r="A88" s="7">
        <v>18</v>
      </c>
      <c r="B88" s="8">
        <v>0.62373842592592588</v>
      </c>
      <c r="C88" s="8">
        <v>0.62373842592592588</v>
      </c>
      <c r="D88" s="8">
        <v>0.62425925925925929</v>
      </c>
      <c r="E88" s="8">
        <f t="shared" si="2"/>
        <v>0</v>
      </c>
      <c r="F88" s="8">
        <f t="shared" si="3"/>
        <v>5.2083333333341475E-4</v>
      </c>
      <c r="I88" s="7">
        <v>18</v>
      </c>
      <c r="J88" s="8">
        <v>0.62179398148148146</v>
      </c>
      <c r="K88" s="8">
        <v>0.62179398148148146</v>
      </c>
      <c r="L88" s="8">
        <v>0.62313657407407408</v>
      </c>
      <c r="M88" s="8">
        <f t="shared" si="4"/>
        <v>0</v>
      </c>
      <c r="N88" s="8">
        <f t="shared" si="5"/>
        <v>1.3425925925926174E-3</v>
      </c>
      <c r="O88" t="s">
        <v>0</v>
      </c>
      <c r="P88" s="1"/>
    </row>
    <row r="89" spans="1:16" x14ac:dyDescent="0.45">
      <c r="A89" s="7">
        <v>19</v>
      </c>
      <c r="B89" s="8">
        <v>0.62375000000000003</v>
      </c>
      <c r="C89" s="8">
        <v>0.62427083333333333</v>
      </c>
      <c r="D89" s="8">
        <v>0.62461805555555561</v>
      </c>
      <c r="E89" s="8">
        <f t="shared" si="2"/>
        <v>5.2083333333330373E-4</v>
      </c>
      <c r="F89" s="8">
        <f t="shared" si="3"/>
        <v>3.472222222222765E-4</v>
      </c>
      <c r="I89" s="7">
        <v>19</v>
      </c>
      <c r="J89" s="8">
        <v>0.62354166666666666</v>
      </c>
      <c r="K89" s="8">
        <v>0.62354166666666666</v>
      </c>
      <c r="L89" s="8">
        <v>0.62443287037037032</v>
      </c>
      <c r="M89" s="8">
        <f t="shared" si="4"/>
        <v>0</v>
      </c>
      <c r="N89" s="8">
        <f t="shared" si="5"/>
        <v>8.9120370370365798E-4</v>
      </c>
      <c r="P89" s="1"/>
    </row>
    <row r="90" spans="1:16" x14ac:dyDescent="0.45">
      <c r="A90" s="7">
        <v>20</v>
      </c>
      <c r="B90" s="8">
        <v>0.62425925925925929</v>
      </c>
      <c r="C90" s="8">
        <v>0.62461805555555561</v>
      </c>
      <c r="D90" s="8">
        <v>0.62497685185185181</v>
      </c>
      <c r="E90" s="8">
        <f t="shared" si="2"/>
        <v>3.5879629629631538E-4</v>
      </c>
      <c r="F90" s="8">
        <f t="shared" si="3"/>
        <v>3.5879629629620435E-4</v>
      </c>
      <c r="I90" s="7">
        <v>20</v>
      </c>
      <c r="J90" s="8">
        <v>0.62525462962962963</v>
      </c>
      <c r="K90" s="8">
        <v>0.62525462962962963</v>
      </c>
      <c r="L90" s="8">
        <v>0.62626157407407412</v>
      </c>
      <c r="M90" s="8">
        <f t="shared" si="4"/>
        <v>0</v>
      </c>
      <c r="N90" s="8">
        <f t="shared" si="5"/>
        <v>1.0069444444444908E-3</v>
      </c>
      <c r="P90" s="1"/>
    </row>
    <row r="91" spans="1:16" x14ac:dyDescent="0.45">
      <c r="A91" s="7">
        <v>21</v>
      </c>
      <c r="B91" s="8">
        <v>0.62497685185185181</v>
      </c>
      <c r="C91" s="8">
        <v>0.62498842592592596</v>
      </c>
      <c r="D91" s="8">
        <v>0.62550925925925926</v>
      </c>
      <c r="E91" s="8">
        <f t="shared" si="2"/>
        <v>1.1574074074149898E-5</v>
      </c>
      <c r="F91" s="8">
        <f t="shared" si="3"/>
        <v>5.2083333333330373E-4</v>
      </c>
      <c r="I91" s="7">
        <v>21</v>
      </c>
      <c r="J91" s="8">
        <v>0.62611111111111106</v>
      </c>
      <c r="K91" s="8">
        <v>0.62626157407407412</v>
      </c>
      <c r="L91" s="8">
        <v>0.62767361111111108</v>
      </c>
      <c r="M91" s="8">
        <f t="shared" si="4"/>
        <v>1.504629629630605E-4</v>
      </c>
      <c r="N91" s="8">
        <f t="shared" si="5"/>
        <v>1.4120370370369617E-3</v>
      </c>
      <c r="P91" s="1"/>
    </row>
    <row r="92" spans="1:16" x14ac:dyDescent="0.45">
      <c r="A92" s="7">
        <v>22</v>
      </c>
      <c r="B92" s="8">
        <v>0.62501157407407404</v>
      </c>
      <c r="C92" s="8">
        <v>0.62550925925925926</v>
      </c>
      <c r="D92" s="8">
        <v>0.62570601851851848</v>
      </c>
      <c r="E92" s="8">
        <f t="shared" si="2"/>
        <v>4.9768518518522598E-4</v>
      </c>
      <c r="F92" s="8">
        <f t="shared" si="3"/>
        <v>1.96759259259216E-4</v>
      </c>
      <c r="I92" s="7">
        <v>22</v>
      </c>
      <c r="J92" s="8">
        <v>0.62700231481481483</v>
      </c>
      <c r="K92" s="8">
        <v>0.62767361111111108</v>
      </c>
      <c r="L92" s="8">
        <v>0.62848379629629625</v>
      </c>
      <c r="M92" s="8">
        <f t="shared" si="4"/>
        <v>6.712962962962532E-4</v>
      </c>
      <c r="N92" s="8">
        <f t="shared" si="5"/>
        <v>8.101851851851638E-4</v>
      </c>
      <c r="P92" s="1"/>
    </row>
    <row r="93" spans="1:16" x14ac:dyDescent="0.45">
      <c r="A93" s="7">
        <v>23</v>
      </c>
      <c r="B93" s="8">
        <v>0.62570601851851848</v>
      </c>
      <c r="C93" s="8">
        <v>0.62572916666666667</v>
      </c>
      <c r="D93" s="8">
        <v>0.62607638888888884</v>
      </c>
      <c r="E93" s="8">
        <f t="shared" si="2"/>
        <v>2.3148148148188774E-5</v>
      </c>
      <c r="F93" s="8">
        <f t="shared" si="3"/>
        <v>3.4722222222216548E-4</v>
      </c>
      <c r="I93" s="7">
        <v>23</v>
      </c>
      <c r="J93" s="8">
        <v>0.62759259259259259</v>
      </c>
      <c r="K93" s="8">
        <v>0.62848379629629625</v>
      </c>
      <c r="L93" s="8">
        <v>0.63005787037037042</v>
      </c>
      <c r="M93" s="8">
        <f t="shared" si="4"/>
        <v>8.9120370370365798E-4</v>
      </c>
      <c r="N93" s="8">
        <f t="shared" si="5"/>
        <v>1.5740740740741721E-3</v>
      </c>
      <c r="O93" t="s">
        <v>0</v>
      </c>
      <c r="P93" s="1"/>
    </row>
    <row r="94" spans="1:16" x14ac:dyDescent="0.45">
      <c r="A94" s="7">
        <v>24</v>
      </c>
      <c r="B94" s="8">
        <v>0.62621527777777775</v>
      </c>
      <c r="C94" s="8">
        <v>0.62621527777777775</v>
      </c>
      <c r="D94" s="8">
        <v>0.62651620370370376</v>
      </c>
      <c r="E94" s="8">
        <f t="shared" si="2"/>
        <v>0</v>
      </c>
      <c r="F94" s="8">
        <f t="shared" si="3"/>
        <v>3.0092592592600997E-4</v>
      </c>
      <c r="I94" s="7">
        <v>24</v>
      </c>
      <c r="J94" s="8">
        <v>0.62844907407407402</v>
      </c>
      <c r="K94" s="8">
        <v>0.63005787037037042</v>
      </c>
      <c r="L94" s="8">
        <v>0.63068287037037041</v>
      </c>
      <c r="M94" s="8">
        <f t="shared" si="4"/>
        <v>1.6087962962963998E-3</v>
      </c>
      <c r="N94" s="8">
        <f t="shared" si="5"/>
        <v>6.2499999999998668E-4</v>
      </c>
      <c r="P94" s="1"/>
    </row>
    <row r="95" spans="1:16" x14ac:dyDescent="0.45">
      <c r="A95" s="7">
        <v>25</v>
      </c>
      <c r="B95" s="8">
        <v>0.6265856481481481</v>
      </c>
      <c r="C95" s="8">
        <v>0.6265856481481481</v>
      </c>
      <c r="D95" s="8">
        <v>0.6270486111111111</v>
      </c>
      <c r="E95" s="8">
        <f t="shared" si="2"/>
        <v>0</v>
      </c>
      <c r="F95" s="8">
        <f t="shared" si="3"/>
        <v>4.6296296296299833E-4</v>
      </c>
      <c r="I95" s="7">
        <v>25</v>
      </c>
      <c r="J95" s="8">
        <v>0.62943287037037032</v>
      </c>
      <c r="K95" s="8">
        <v>0.63068287037037041</v>
      </c>
      <c r="L95" s="8">
        <v>0.63138888888888889</v>
      </c>
      <c r="M95" s="8">
        <f t="shared" si="4"/>
        <v>1.2500000000000844E-3</v>
      </c>
      <c r="N95" s="8">
        <f t="shared" si="5"/>
        <v>7.0601851851848085E-4</v>
      </c>
      <c r="P95" s="1"/>
    </row>
    <row r="96" spans="1:16" x14ac:dyDescent="0.45">
      <c r="A96" s="7">
        <v>26</v>
      </c>
      <c r="B96" s="8">
        <v>0.62694444444444442</v>
      </c>
      <c r="C96" s="8">
        <v>0.6270486111111111</v>
      </c>
      <c r="D96" s="8">
        <v>0.62811342592592589</v>
      </c>
      <c r="E96" s="8">
        <f t="shared" si="2"/>
        <v>1.0416666666668295E-4</v>
      </c>
      <c r="F96" s="8">
        <f t="shared" si="3"/>
        <v>1.0648148148147962E-3</v>
      </c>
      <c r="G96" t="s">
        <v>13</v>
      </c>
      <c r="I96" s="7">
        <v>26</v>
      </c>
      <c r="J96" s="8">
        <v>0.62980324074074079</v>
      </c>
      <c r="K96" s="8">
        <v>0.63138888888888889</v>
      </c>
      <c r="L96" s="8">
        <v>0.63241898148148146</v>
      </c>
      <c r="M96" s="8">
        <f t="shared" si="4"/>
        <v>1.5856481481481E-3</v>
      </c>
      <c r="N96" s="8">
        <f t="shared" si="5"/>
        <v>1.0300925925925686E-3</v>
      </c>
      <c r="P96" s="1"/>
    </row>
    <row r="97" spans="1:16" x14ac:dyDescent="0.45">
      <c r="A97" s="7">
        <v>27</v>
      </c>
      <c r="B97" s="8">
        <v>0.62746527777777783</v>
      </c>
      <c r="C97" s="8">
        <v>0.62811342592592589</v>
      </c>
      <c r="D97" s="8">
        <v>0.62893518518518521</v>
      </c>
      <c r="E97" s="8">
        <f t="shared" si="2"/>
        <v>6.4814814814806443E-4</v>
      </c>
      <c r="F97" s="8">
        <f t="shared" si="3"/>
        <v>8.217592592593137E-4</v>
      </c>
      <c r="I97" s="7">
        <v>27</v>
      </c>
      <c r="J97" s="8">
        <v>0.63003472222222223</v>
      </c>
      <c r="K97" s="8">
        <v>0.63241898148148146</v>
      </c>
      <c r="L97" s="8">
        <v>0.63336805555555553</v>
      </c>
      <c r="M97" s="8">
        <f t="shared" si="4"/>
        <v>2.3842592592592249E-3</v>
      </c>
      <c r="N97" s="8">
        <f t="shared" si="5"/>
        <v>9.490740740740744E-4</v>
      </c>
      <c r="P97" s="1"/>
    </row>
    <row r="98" spans="1:16" x14ac:dyDescent="0.45">
      <c r="A98" s="7">
        <v>28</v>
      </c>
      <c r="B98" s="8">
        <v>0.62776620370370373</v>
      </c>
      <c r="C98" s="8">
        <v>0.62894675925925925</v>
      </c>
      <c r="D98" s="8">
        <v>0.62989583333333332</v>
      </c>
      <c r="E98" s="8">
        <f t="shared" si="2"/>
        <v>1.1805555555555181E-3</v>
      </c>
      <c r="F98" s="8">
        <f t="shared" si="3"/>
        <v>9.490740740740744E-4</v>
      </c>
      <c r="G98" t="s">
        <v>13</v>
      </c>
      <c r="I98" s="7">
        <v>28</v>
      </c>
      <c r="J98" s="8">
        <v>0.63083333333333336</v>
      </c>
      <c r="K98" s="8">
        <v>0.63336805555555553</v>
      </c>
      <c r="L98" s="8">
        <v>0.63415509259259262</v>
      </c>
      <c r="M98" s="8">
        <f t="shared" si="4"/>
        <v>2.5347222222221744E-3</v>
      </c>
      <c r="N98" s="8">
        <f t="shared" si="5"/>
        <v>7.8703703703708605E-4</v>
      </c>
      <c r="P98" s="1"/>
    </row>
    <row r="99" spans="1:16" x14ac:dyDescent="0.45">
      <c r="A99" s="7">
        <v>29</v>
      </c>
      <c r="B99" s="8">
        <v>0.62869212962962961</v>
      </c>
      <c r="C99" s="8">
        <v>0.62993055555555555</v>
      </c>
      <c r="D99" s="8">
        <v>0.63049768518518523</v>
      </c>
      <c r="E99" s="8">
        <f t="shared" si="2"/>
        <v>1.2384259259259345E-3</v>
      </c>
      <c r="F99" s="8">
        <f t="shared" si="3"/>
        <v>5.6712962962968128E-4</v>
      </c>
      <c r="I99" s="7">
        <v>29</v>
      </c>
      <c r="J99" s="8">
        <v>0.63138888888888889</v>
      </c>
      <c r="K99" s="8">
        <v>0.63415509259259262</v>
      </c>
      <c r="L99" s="8">
        <v>0.63468749999999996</v>
      </c>
      <c r="M99" s="8">
        <f t="shared" si="4"/>
        <v>2.766203703703729E-3</v>
      </c>
      <c r="N99" s="8">
        <f t="shared" si="5"/>
        <v>5.324074074073426E-4</v>
      </c>
      <c r="P99" s="1"/>
    </row>
    <row r="100" spans="1:16" x14ac:dyDescent="0.45">
      <c r="A100" s="7">
        <v>30</v>
      </c>
      <c r="B100" s="8">
        <v>0.63032407407407409</v>
      </c>
      <c r="C100" s="8">
        <v>0.63050925925925927</v>
      </c>
      <c r="D100" s="8">
        <v>0.63119212962962967</v>
      </c>
      <c r="E100" s="8">
        <f t="shared" si="2"/>
        <v>1.8518518518517713E-4</v>
      </c>
      <c r="F100" s="8">
        <f t="shared" si="3"/>
        <v>6.828703703704031E-4</v>
      </c>
      <c r="I100" s="7">
        <v>30</v>
      </c>
      <c r="J100" s="8">
        <v>0.63196759259259261</v>
      </c>
      <c r="K100" s="8">
        <v>0.63468749999999996</v>
      </c>
      <c r="L100" s="8">
        <v>0.63627314814814817</v>
      </c>
      <c r="M100" s="8">
        <f t="shared" si="4"/>
        <v>2.7199074074073515E-3</v>
      </c>
      <c r="N100" s="8">
        <f t="shared" si="5"/>
        <v>1.585648148148211E-3</v>
      </c>
      <c r="O100" t="s">
        <v>0</v>
      </c>
      <c r="P100" s="1"/>
    </row>
    <row r="101" spans="1:16" x14ac:dyDescent="0.45">
      <c r="A101" s="7">
        <v>31</v>
      </c>
      <c r="B101" s="8">
        <v>0.63043981481481481</v>
      </c>
      <c r="C101" s="8">
        <v>0.63120370370370371</v>
      </c>
      <c r="D101" s="8">
        <v>0.63203703703703706</v>
      </c>
      <c r="E101" s="8">
        <f t="shared" si="2"/>
        <v>7.6388888888889728E-4</v>
      </c>
      <c r="F101" s="8">
        <f t="shared" si="3"/>
        <v>8.3333333333335258E-4</v>
      </c>
      <c r="G101" t="s">
        <v>13</v>
      </c>
      <c r="I101" s="7">
        <v>31</v>
      </c>
      <c r="J101" s="8">
        <v>0.6360069444444445</v>
      </c>
      <c r="K101" s="8">
        <v>0.63627314814814817</v>
      </c>
      <c r="L101" s="8">
        <v>0.63724537037037032</v>
      </c>
      <c r="M101" s="8">
        <f t="shared" si="4"/>
        <v>2.662037037036713E-4</v>
      </c>
      <c r="N101" s="8">
        <f t="shared" si="5"/>
        <v>9.7222222222215215E-4</v>
      </c>
      <c r="P101" s="1"/>
    </row>
    <row r="102" spans="1:16" x14ac:dyDescent="0.45">
      <c r="A102" s="7">
        <v>32</v>
      </c>
      <c r="B102" s="8">
        <v>0.63055555555555554</v>
      </c>
      <c r="C102" s="8">
        <v>0.63203703703703706</v>
      </c>
      <c r="D102" s="8">
        <v>0.63285879629629627</v>
      </c>
      <c r="E102" s="8">
        <f t="shared" si="2"/>
        <v>1.481481481481528E-3</v>
      </c>
      <c r="F102" s="8">
        <f t="shared" si="3"/>
        <v>8.2175925925920268E-4</v>
      </c>
      <c r="I102" s="7">
        <v>32</v>
      </c>
      <c r="J102" s="8">
        <v>0.63624999999999998</v>
      </c>
      <c r="K102" s="8">
        <v>0.63724537037037032</v>
      </c>
      <c r="L102" s="8">
        <v>0.63783564814814819</v>
      </c>
      <c r="M102" s="8">
        <f t="shared" si="4"/>
        <v>9.9537037037034093E-4</v>
      </c>
      <c r="N102" s="8">
        <f t="shared" si="5"/>
        <v>5.9027777777787005E-4</v>
      </c>
      <c r="P102" s="1"/>
    </row>
    <row r="103" spans="1:16" x14ac:dyDescent="0.45">
      <c r="A103" s="7">
        <v>33</v>
      </c>
      <c r="B103" s="8">
        <v>0.63129629629629624</v>
      </c>
      <c r="C103" s="8">
        <v>0.63285879629629627</v>
      </c>
      <c r="D103" s="8">
        <v>0.63376157407407407</v>
      </c>
      <c r="E103" s="8">
        <f t="shared" si="2"/>
        <v>1.5625000000000222E-3</v>
      </c>
      <c r="F103" s="8">
        <f t="shared" si="3"/>
        <v>9.0277777777780788E-4</v>
      </c>
      <c r="I103" s="7">
        <v>33</v>
      </c>
      <c r="J103" s="8">
        <v>0.63627314814814817</v>
      </c>
      <c r="K103" s="8">
        <v>0.63783564814814819</v>
      </c>
      <c r="L103" s="8">
        <v>0.63855324074074071</v>
      </c>
      <c r="M103" s="8">
        <f t="shared" si="4"/>
        <v>1.5625000000000222E-3</v>
      </c>
      <c r="N103" s="8">
        <f t="shared" si="5"/>
        <v>7.1759259259251973E-4</v>
      </c>
      <c r="P103" s="1"/>
    </row>
    <row r="104" spans="1:16" x14ac:dyDescent="0.45">
      <c r="A104" s="7">
        <v>34</v>
      </c>
      <c r="B104" s="8">
        <v>0.63179398148148147</v>
      </c>
      <c r="C104" s="8">
        <v>0.63376157407407407</v>
      </c>
      <c r="D104" s="9">
        <v>0.63402777777777775</v>
      </c>
      <c r="E104" s="8">
        <f t="shared" si="2"/>
        <v>1.9675925925926041E-3</v>
      </c>
      <c r="F104" s="8">
        <f t="shared" si="3"/>
        <v>2.662037037036713E-4</v>
      </c>
      <c r="I104" s="7">
        <v>34</v>
      </c>
      <c r="J104" s="8">
        <v>0.63744212962962965</v>
      </c>
      <c r="K104" s="8">
        <v>0.63855324074074071</v>
      </c>
      <c r="L104" s="8">
        <v>0.63957175925925924</v>
      </c>
      <c r="M104" s="8">
        <f t="shared" si="4"/>
        <v>1.1111111111110628E-3</v>
      </c>
      <c r="N104" s="8">
        <f t="shared" si="5"/>
        <v>1.0185185185185297E-3</v>
      </c>
      <c r="P104" s="1"/>
    </row>
    <row r="105" spans="1:16" x14ac:dyDescent="0.45">
      <c r="A105" s="7">
        <v>35</v>
      </c>
      <c r="B105" s="8">
        <v>0.63263888888888886</v>
      </c>
      <c r="C105" s="8">
        <v>0.63402777777777775</v>
      </c>
      <c r="D105" s="8">
        <v>0.63430555555555557</v>
      </c>
      <c r="E105" s="8">
        <f t="shared" si="2"/>
        <v>1.388888888888884E-3</v>
      </c>
      <c r="F105" s="8">
        <f t="shared" si="3"/>
        <v>2.777777777778212E-4</v>
      </c>
      <c r="I105" s="7">
        <v>35</v>
      </c>
      <c r="J105" s="8">
        <v>0.63782407407407404</v>
      </c>
      <c r="K105" s="8">
        <v>0.63957175925925924</v>
      </c>
      <c r="L105" s="8">
        <v>0.64024305555555561</v>
      </c>
      <c r="M105" s="8">
        <f t="shared" si="4"/>
        <v>1.7476851851851993E-3</v>
      </c>
      <c r="N105" s="8">
        <f t="shared" si="5"/>
        <v>6.7129629629636423E-4</v>
      </c>
      <c r="P105" s="1"/>
    </row>
    <row r="106" spans="1:16" x14ac:dyDescent="0.45">
      <c r="A106" s="7">
        <v>36</v>
      </c>
      <c r="B106" s="8">
        <v>0.63318287037037035</v>
      </c>
      <c r="C106" s="8">
        <v>0.63430555555555557</v>
      </c>
      <c r="D106" s="8">
        <v>0.63469907407407411</v>
      </c>
      <c r="E106" s="8">
        <f t="shared" si="2"/>
        <v>1.1226851851852127E-3</v>
      </c>
      <c r="F106" s="8">
        <f t="shared" si="3"/>
        <v>3.9351851851854303E-4</v>
      </c>
      <c r="I106" s="7">
        <v>36</v>
      </c>
      <c r="J106" s="8">
        <v>0.63854166666666667</v>
      </c>
      <c r="K106" s="8">
        <v>0.64024305555555561</v>
      </c>
      <c r="L106" s="8">
        <v>0.64083333333333337</v>
      </c>
      <c r="M106" s="8">
        <f t="shared" si="4"/>
        <v>1.7013888888889328E-3</v>
      </c>
      <c r="N106" s="8">
        <f t="shared" si="5"/>
        <v>5.9027777777775903E-4</v>
      </c>
      <c r="P106" s="1"/>
    </row>
    <row r="107" spans="1:16" x14ac:dyDescent="0.45">
      <c r="A107" s="7">
        <v>37</v>
      </c>
      <c r="B107" s="8">
        <v>0.63344907407407403</v>
      </c>
      <c r="C107" s="8">
        <v>0.63471064814814815</v>
      </c>
      <c r="D107" s="8">
        <v>0.63549768518518523</v>
      </c>
      <c r="E107" s="8">
        <f t="shared" si="2"/>
        <v>1.2615740740741233E-3</v>
      </c>
      <c r="F107" s="8">
        <f t="shared" si="3"/>
        <v>7.8703703703708605E-4</v>
      </c>
      <c r="I107" s="7">
        <v>37</v>
      </c>
      <c r="J107" s="8">
        <v>0.63989583333333333</v>
      </c>
      <c r="K107" s="8">
        <v>0.64083333333333337</v>
      </c>
      <c r="L107" s="8">
        <v>0.64159722222222226</v>
      </c>
      <c r="M107" s="8">
        <f t="shared" si="4"/>
        <v>9.3750000000003553E-4</v>
      </c>
      <c r="N107" s="8">
        <f t="shared" si="5"/>
        <v>7.6388888888889728E-4</v>
      </c>
      <c r="P107" s="1"/>
    </row>
    <row r="108" spans="1:16" x14ac:dyDescent="0.45">
      <c r="A108" s="7">
        <v>38</v>
      </c>
      <c r="B108" s="8">
        <v>0.63550925925925927</v>
      </c>
      <c r="C108" s="8" t="s">
        <v>22</v>
      </c>
      <c r="D108" s="8">
        <v>0.63611111111111107</v>
      </c>
      <c r="E108" s="8"/>
      <c r="F108" s="8"/>
      <c r="G108" t="s">
        <v>20</v>
      </c>
      <c r="I108" s="7">
        <v>38</v>
      </c>
      <c r="J108" s="8">
        <v>0.64039351851851856</v>
      </c>
      <c r="K108" s="8">
        <v>0.64159722222222226</v>
      </c>
      <c r="L108" s="8">
        <v>0.64241898148148147</v>
      </c>
      <c r="M108" s="8">
        <f t="shared" si="4"/>
        <v>1.2037037037037068E-3</v>
      </c>
      <c r="N108" s="8">
        <f t="shared" si="5"/>
        <v>8.2175925925920268E-4</v>
      </c>
      <c r="P108" s="1"/>
    </row>
    <row r="109" spans="1:16" x14ac:dyDescent="0.45">
      <c r="A109" s="7">
        <v>39</v>
      </c>
      <c r="B109" s="8">
        <v>0.63552083333333331</v>
      </c>
      <c r="C109" s="8">
        <v>0.63612268518518522</v>
      </c>
      <c r="D109" s="8">
        <v>0.63697916666666665</v>
      </c>
      <c r="E109" s="8">
        <f t="shared" si="2"/>
        <v>6.0185185185190893E-4</v>
      </c>
      <c r="F109" s="8">
        <f t="shared" si="3"/>
        <v>8.5648148148143033E-4</v>
      </c>
      <c r="I109" s="7">
        <v>39</v>
      </c>
      <c r="J109" s="8">
        <v>0.64105324074074077</v>
      </c>
      <c r="K109" s="8">
        <v>0.64241898148148147</v>
      </c>
      <c r="L109" s="8">
        <v>0.64291666666666669</v>
      </c>
      <c r="M109" s="8">
        <f t="shared" si="4"/>
        <v>1.3657407407406952E-3</v>
      </c>
      <c r="N109" s="8">
        <f t="shared" si="5"/>
        <v>4.9768518518522598E-4</v>
      </c>
      <c r="P109" s="1"/>
    </row>
    <row r="110" spans="1:16" x14ac:dyDescent="0.45">
      <c r="A110" s="7">
        <v>40</v>
      </c>
      <c r="B110" s="8">
        <v>0.63699074074074069</v>
      </c>
      <c r="C110" s="8">
        <v>0.63699074074074069</v>
      </c>
      <c r="D110" s="8">
        <v>0.63785879629629627</v>
      </c>
      <c r="E110" s="8">
        <f t="shared" si="2"/>
        <v>0</v>
      </c>
      <c r="F110" s="8">
        <f t="shared" si="3"/>
        <v>8.6805555555558023E-4</v>
      </c>
      <c r="I110" s="7">
        <v>40</v>
      </c>
      <c r="J110" s="8">
        <v>0.64202546296296292</v>
      </c>
      <c r="K110" s="8">
        <v>0.64291666666666669</v>
      </c>
      <c r="L110" s="8">
        <v>0.64388888888888884</v>
      </c>
      <c r="M110" s="8">
        <f t="shared" si="4"/>
        <v>8.91203703703769E-4</v>
      </c>
      <c r="N110" s="8">
        <f t="shared" si="5"/>
        <v>9.7222222222215215E-4</v>
      </c>
      <c r="P110" s="1"/>
    </row>
    <row r="111" spans="1:16" x14ac:dyDescent="0.45">
      <c r="A111" s="7">
        <v>41</v>
      </c>
      <c r="B111" s="8">
        <v>0.6375925925925926</v>
      </c>
      <c r="C111" s="8">
        <v>0.63785879629629627</v>
      </c>
      <c r="D111" s="8">
        <v>0.63813657407407409</v>
      </c>
      <c r="E111" s="8">
        <f t="shared" si="2"/>
        <v>2.662037037036713E-4</v>
      </c>
      <c r="F111" s="8">
        <f t="shared" si="3"/>
        <v>2.777777777778212E-4</v>
      </c>
      <c r="I111" s="7">
        <v>41</v>
      </c>
      <c r="J111" s="8">
        <v>0.64304398148148145</v>
      </c>
      <c r="K111" s="8">
        <v>0.64388888888888884</v>
      </c>
      <c r="L111" s="8">
        <v>0.64461805555555551</v>
      </c>
      <c r="M111" s="8">
        <f t="shared" si="4"/>
        <v>8.4490740740739145E-4</v>
      </c>
      <c r="N111" s="8">
        <f t="shared" si="5"/>
        <v>7.2916666666666963E-4</v>
      </c>
      <c r="P111" s="1"/>
    </row>
    <row r="112" spans="1:16" x14ac:dyDescent="0.45">
      <c r="A112" s="7">
        <v>42</v>
      </c>
      <c r="B112" s="8">
        <v>0.63765046296296302</v>
      </c>
      <c r="C112" s="8">
        <v>0.63814814814814813</v>
      </c>
      <c r="D112" s="8">
        <v>0.63885416666666661</v>
      </c>
      <c r="E112" s="8">
        <f t="shared" si="2"/>
        <v>4.9768518518511495E-4</v>
      </c>
      <c r="F112" s="8">
        <f t="shared" si="3"/>
        <v>7.0601851851848085E-4</v>
      </c>
      <c r="I112" s="7">
        <v>42</v>
      </c>
      <c r="J112" s="8">
        <v>0.64337962962962958</v>
      </c>
      <c r="K112" s="8">
        <v>0.64461805555555551</v>
      </c>
      <c r="L112" s="8">
        <v>0.64526620370370369</v>
      </c>
      <c r="M112" s="8">
        <f t="shared" si="4"/>
        <v>1.2384259259259345E-3</v>
      </c>
      <c r="N112" s="8">
        <f t="shared" si="5"/>
        <v>6.4814814814817545E-4</v>
      </c>
      <c r="P112" s="1"/>
    </row>
    <row r="113" spans="1:16" x14ac:dyDescent="0.45">
      <c r="A113" s="7">
        <v>43</v>
      </c>
      <c r="B113" s="8">
        <v>0.63844907407407403</v>
      </c>
      <c r="C113" s="8">
        <v>0.63886574074074076</v>
      </c>
      <c r="D113" s="8">
        <v>0.64012731481481477</v>
      </c>
      <c r="E113" s="8">
        <f t="shared" si="2"/>
        <v>4.166666666667318E-4</v>
      </c>
      <c r="F113" s="8">
        <f t="shared" si="3"/>
        <v>1.2615740740740122E-3</v>
      </c>
      <c r="I113" s="7">
        <v>43</v>
      </c>
      <c r="J113" s="8">
        <v>0.64525462962962965</v>
      </c>
      <c r="K113" s="8">
        <v>0.64526620370370369</v>
      </c>
      <c r="L113" s="8">
        <v>0.64634259259259264</v>
      </c>
      <c r="M113" s="8">
        <f t="shared" si="4"/>
        <v>1.1574074074038876E-5</v>
      </c>
      <c r="N113" s="8">
        <f t="shared" si="5"/>
        <v>1.0763888888889461E-3</v>
      </c>
      <c r="P113" s="1"/>
    </row>
    <row r="114" spans="1:16" x14ac:dyDescent="0.45">
      <c r="A114" s="7">
        <v>44</v>
      </c>
      <c r="B114" s="8">
        <v>0.63952546296296298</v>
      </c>
      <c r="C114" s="8">
        <v>0.64012731481481477</v>
      </c>
      <c r="D114" s="8">
        <v>0.64048611111111109</v>
      </c>
      <c r="E114" s="8">
        <f t="shared" si="2"/>
        <v>6.018518518517979E-4</v>
      </c>
      <c r="F114" s="8">
        <f t="shared" si="3"/>
        <v>3.5879629629631538E-4</v>
      </c>
      <c r="I114" s="7">
        <v>44</v>
      </c>
      <c r="J114" s="8">
        <v>0.64556712962962959</v>
      </c>
      <c r="K114" s="8">
        <v>0.64634259259259264</v>
      </c>
      <c r="L114" s="8">
        <v>0.64753472222222219</v>
      </c>
      <c r="M114" s="8">
        <f t="shared" si="4"/>
        <v>7.7546296296304718E-4</v>
      </c>
      <c r="N114" s="8">
        <f t="shared" si="5"/>
        <v>1.1921296296295569E-3</v>
      </c>
      <c r="P114" s="1"/>
    </row>
    <row r="115" spans="1:16" x14ac:dyDescent="0.45">
      <c r="A115" s="7">
        <v>45</v>
      </c>
      <c r="B115" s="8">
        <v>0.64038194444444441</v>
      </c>
      <c r="C115" s="8">
        <v>0.64048611111111109</v>
      </c>
      <c r="D115" s="8">
        <v>0.64089120370370367</v>
      </c>
      <c r="E115" s="8">
        <f t="shared" si="2"/>
        <v>1.0416666666668295E-4</v>
      </c>
      <c r="F115" s="8">
        <f t="shared" si="3"/>
        <v>4.050925925925819E-4</v>
      </c>
      <c r="I115" s="7">
        <v>45</v>
      </c>
      <c r="J115" s="8">
        <v>0.64604166666666663</v>
      </c>
      <c r="K115" s="8">
        <v>0.64753472222222219</v>
      </c>
      <c r="L115" s="8">
        <v>0.64807870370370368</v>
      </c>
      <c r="M115" s="8">
        <f t="shared" si="4"/>
        <v>1.4930555555555669E-3</v>
      </c>
      <c r="N115" s="8">
        <f t="shared" si="5"/>
        <v>5.439814814814925E-4</v>
      </c>
      <c r="P115" s="1"/>
    </row>
    <row r="116" spans="1:16" x14ac:dyDescent="0.45">
      <c r="A116" s="7">
        <v>46</v>
      </c>
      <c r="B116" s="8">
        <v>0.64101851851851854</v>
      </c>
      <c r="C116" s="8">
        <v>0.64159722222222226</v>
      </c>
      <c r="D116" s="8">
        <v>0.64249999999999996</v>
      </c>
      <c r="E116" s="8">
        <f t="shared" si="2"/>
        <v>5.7870370370372015E-4</v>
      </c>
      <c r="F116" s="8">
        <f t="shared" si="3"/>
        <v>9.0277777777769685E-4</v>
      </c>
      <c r="I116" s="7">
        <v>46</v>
      </c>
      <c r="J116" s="8">
        <v>0.64796296296296296</v>
      </c>
      <c r="K116" s="8">
        <v>0.64807870370370368</v>
      </c>
      <c r="L116" s="8">
        <v>0.64917824074074071</v>
      </c>
      <c r="M116" s="8">
        <f t="shared" si="4"/>
        <v>1.1574074074072183E-4</v>
      </c>
      <c r="N116" s="8">
        <f t="shared" si="5"/>
        <v>1.0995370370370239E-3</v>
      </c>
      <c r="P116" s="1"/>
    </row>
    <row r="117" spans="1:16" x14ac:dyDescent="0.45">
      <c r="A117" s="7">
        <v>47</v>
      </c>
      <c r="B117" s="8">
        <v>0.64151620370370366</v>
      </c>
      <c r="C117" s="8">
        <v>0.64251157407407411</v>
      </c>
      <c r="D117" s="8">
        <v>0.64321759259259259</v>
      </c>
      <c r="E117" s="8">
        <f t="shared" si="2"/>
        <v>9.9537037037045195E-4</v>
      </c>
      <c r="F117" s="8">
        <f t="shared" si="3"/>
        <v>7.0601851851848085E-4</v>
      </c>
      <c r="I117" s="7">
        <v>47</v>
      </c>
      <c r="J117" s="8">
        <v>0.64869212962962963</v>
      </c>
      <c r="K117" s="8">
        <v>0.64917824074074071</v>
      </c>
      <c r="L117" s="8">
        <v>0.64997685185185183</v>
      </c>
      <c r="M117" s="8">
        <f t="shared" si="4"/>
        <v>4.8611111111107608E-4</v>
      </c>
      <c r="N117" s="8">
        <f t="shared" si="5"/>
        <v>7.9861111111112493E-4</v>
      </c>
      <c r="P117" s="1"/>
    </row>
    <row r="118" spans="1:16" x14ac:dyDescent="0.45">
      <c r="A118" s="7">
        <v>48</v>
      </c>
      <c r="B118" s="8">
        <v>0.6419097222222222</v>
      </c>
      <c r="C118" s="8">
        <v>0.64322916666666663</v>
      </c>
      <c r="D118" s="8">
        <v>0.64370370370370367</v>
      </c>
      <c r="E118" s="8">
        <f t="shared" si="2"/>
        <v>1.3194444444444287E-3</v>
      </c>
      <c r="F118" s="8">
        <f t="shared" si="3"/>
        <v>4.745370370370372E-4</v>
      </c>
      <c r="I118" s="7">
        <v>48</v>
      </c>
      <c r="J118" s="8">
        <v>0.64900462962962968</v>
      </c>
      <c r="K118" s="8">
        <v>0.64997685185185183</v>
      </c>
      <c r="L118" s="8">
        <v>0.65060185185185182</v>
      </c>
      <c r="M118" s="8">
        <f t="shared" si="4"/>
        <v>9.7222222222215215E-4</v>
      </c>
      <c r="N118" s="8">
        <f t="shared" si="5"/>
        <v>6.2499999999998668E-4</v>
      </c>
      <c r="P118" s="1"/>
    </row>
    <row r="119" spans="1:16" x14ac:dyDescent="0.45">
      <c r="A119" s="7">
        <v>49</v>
      </c>
      <c r="B119" s="8">
        <v>0.64233796296296297</v>
      </c>
      <c r="C119" s="8">
        <v>0.64371527777777782</v>
      </c>
      <c r="D119" s="8">
        <v>0.64414351851851848</v>
      </c>
      <c r="E119" s="8">
        <f t="shared" si="2"/>
        <v>1.3773148148148451E-3</v>
      </c>
      <c r="F119" s="8">
        <f t="shared" si="3"/>
        <v>4.2824074074065965E-4</v>
      </c>
      <c r="I119" s="7">
        <v>49</v>
      </c>
      <c r="J119" s="8">
        <v>0.64925925925925931</v>
      </c>
      <c r="K119" s="8">
        <v>0.65060185185185182</v>
      </c>
      <c r="L119" s="8">
        <v>0.65126157407407403</v>
      </c>
      <c r="M119" s="8">
        <f t="shared" si="4"/>
        <v>1.3425925925925064E-3</v>
      </c>
      <c r="N119" s="8">
        <f t="shared" si="5"/>
        <v>6.5972222222221433E-4</v>
      </c>
      <c r="P119" s="1"/>
    </row>
    <row r="120" spans="1:16" x14ac:dyDescent="0.45">
      <c r="A120" s="7">
        <v>50</v>
      </c>
      <c r="B120" s="8">
        <v>0.64370370370370367</v>
      </c>
      <c r="C120" s="8">
        <v>0.64414351851851848</v>
      </c>
      <c r="D120" s="8">
        <v>0.64482638888888888</v>
      </c>
      <c r="E120" s="8">
        <f t="shared" si="2"/>
        <v>4.3981481481480955E-4</v>
      </c>
      <c r="F120" s="8">
        <f t="shared" si="3"/>
        <v>6.828703703704031E-4</v>
      </c>
      <c r="I120" s="7">
        <v>50</v>
      </c>
      <c r="J120" s="8">
        <v>0.64997685185185183</v>
      </c>
      <c r="K120" s="8">
        <v>0.65126157407407403</v>
      </c>
      <c r="L120" s="8">
        <v>0.65212962962962961</v>
      </c>
      <c r="M120" s="8">
        <f t="shared" si="4"/>
        <v>1.284722222222201E-3</v>
      </c>
      <c r="N120" s="8">
        <f t="shared" si="5"/>
        <v>8.6805555555558023E-4</v>
      </c>
      <c r="P120" s="1"/>
    </row>
    <row r="121" spans="1:16" x14ac:dyDescent="0.45">
      <c r="A121" s="7">
        <v>51</v>
      </c>
      <c r="B121" s="8">
        <v>0.64525462962962965</v>
      </c>
      <c r="C121" s="8">
        <v>0.64525462962962965</v>
      </c>
      <c r="D121" s="8">
        <v>0.64627314814814818</v>
      </c>
      <c r="E121" s="8">
        <f t="shared" si="2"/>
        <v>0</v>
      </c>
      <c r="F121" s="8">
        <f t="shared" si="3"/>
        <v>1.0185185185185297E-3</v>
      </c>
      <c r="I121" s="7">
        <v>51</v>
      </c>
      <c r="J121" s="8">
        <v>0.65025462962962965</v>
      </c>
      <c r="K121" s="8">
        <v>0.65212962962962961</v>
      </c>
      <c r="L121" s="8">
        <v>0.65263888888888888</v>
      </c>
      <c r="M121" s="8">
        <f t="shared" si="4"/>
        <v>1.87499999999996E-3</v>
      </c>
      <c r="N121" s="8">
        <f t="shared" si="5"/>
        <v>5.0925925925926485E-4</v>
      </c>
      <c r="P121" s="1"/>
    </row>
    <row r="122" spans="1:16" x14ac:dyDescent="0.45">
      <c r="A122" s="7">
        <v>52</v>
      </c>
      <c r="B122" s="8">
        <v>0.64627314814814818</v>
      </c>
      <c r="C122" s="8">
        <v>0.64629629629629626</v>
      </c>
      <c r="D122" s="8">
        <v>0.64696759259259262</v>
      </c>
      <c r="E122" s="8">
        <f t="shared" si="2"/>
        <v>2.3148148148077752E-5</v>
      </c>
      <c r="F122" s="8">
        <f t="shared" si="3"/>
        <v>6.7129629629636423E-4</v>
      </c>
      <c r="I122" s="7">
        <v>52</v>
      </c>
      <c r="J122" s="8">
        <v>0.65042824074074079</v>
      </c>
      <c r="K122" s="8">
        <v>0.65263888888888888</v>
      </c>
      <c r="L122" s="8">
        <v>0.65314814814814814</v>
      </c>
      <c r="M122" s="8">
        <f t="shared" si="4"/>
        <v>2.2106481481480866E-3</v>
      </c>
      <c r="N122" s="8">
        <f t="shared" si="5"/>
        <v>5.0925925925926485E-4</v>
      </c>
      <c r="P122" s="1"/>
    </row>
    <row r="123" spans="1:16" x14ac:dyDescent="0.45">
      <c r="A123" s="7">
        <v>53</v>
      </c>
      <c r="B123" s="8">
        <v>0.64733796296296298</v>
      </c>
      <c r="C123" s="8">
        <v>0.64733796296296298</v>
      </c>
      <c r="D123" s="8">
        <v>0.64784722222222224</v>
      </c>
      <c r="E123" s="8">
        <f t="shared" si="2"/>
        <v>0</v>
      </c>
      <c r="F123" s="8">
        <f t="shared" si="3"/>
        <v>5.0925925925926485E-4</v>
      </c>
      <c r="I123" s="7">
        <v>53</v>
      </c>
      <c r="J123" s="8">
        <v>0.65106481481481482</v>
      </c>
      <c r="K123" s="8">
        <v>0.65314814814814814</v>
      </c>
      <c r="L123" s="8">
        <v>0.65376157407407409</v>
      </c>
      <c r="M123" s="8">
        <f t="shared" si="4"/>
        <v>2.0833333333333259E-3</v>
      </c>
      <c r="N123" s="8">
        <f t="shared" si="5"/>
        <v>6.134259259259478E-4</v>
      </c>
      <c r="P123" s="1"/>
    </row>
    <row r="124" spans="1:16" x14ac:dyDescent="0.45">
      <c r="A124" s="7">
        <v>54</v>
      </c>
      <c r="B124" s="8">
        <v>0.6477546296296296</v>
      </c>
      <c r="C124" s="8">
        <v>0.64787037037037032</v>
      </c>
      <c r="D124" s="8">
        <v>0.6492013888888889</v>
      </c>
      <c r="E124" s="8">
        <f t="shared" si="2"/>
        <v>1.1574074074072183E-4</v>
      </c>
      <c r="F124" s="8">
        <f t="shared" si="3"/>
        <v>1.3310185185185786E-3</v>
      </c>
      <c r="I124" s="7">
        <v>54</v>
      </c>
      <c r="J124" s="8">
        <v>0.65113425925925927</v>
      </c>
      <c r="K124" s="8">
        <v>0.65376157407407409</v>
      </c>
      <c r="L124" s="8">
        <v>0.65465277777777775</v>
      </c>
      <c r="M124" s="8">
        <f t="shared" si="4"/>
        <v>2.6273148148148184E-3</v>
      </c>
      <c r="N124" s="8">
        <f t="shared" si="5"/>
        <v>8.9120370370365798E-4</v>
      </c>
      <c r="P124" s="1"/>
    </row>
    <row r="125" spans="1:16" x14ac:dyDescent="0.45">
      <c r="A125" s="7">
        <v>55</v>
      </c>
      <c r="B125" s="8">
        <v>0.64916666666666667</v>
      </c>
      <c r="C125" s="8">
        <v>0.64921296296296294</v>
      </c>
      <c r="D125" s="8">
        <v>0.65034722222222219</v>
      </c>
      <c r="E125" s="8">
        <f t="shared" si="2"/>
        <v>4.6296296296266526E-5</v>
      </c>
      <c r="F125" s="8">
        <f t="shared" si="3"/>
        <v>1.1342592592592515E-3</v>
      </c>
      <c r="G125" t="s">
        <v>13</v>
      </c>
      <c r="I125" s="7">
        <v>55</v>
      </c>
      <c r="J125" s="8">
        <v>0.6519907407407407</v>
      </c>
      <c r="K125" s="8">
        <v>0.65465277777777775</v>
      </c>
      <c r="L125" s="8">
        <v>0.65523148148148147</v>
      </c>
      <c r="M125" s="8">
        <f t="shared" si="4"/>
        <v>2.6620370370370461E-3</v>
      </c>
      <c r="N125" s="8">
        <f t="shared" si="5"/>
        <v>5.7870370370372015E-4</v>
      </c>
      <c r="P125" s="1"/>
    </row>
    <row r="126" spans="1:16" x14ac:dyDescent="0.45">
      <c r="A126" s="7">
        <v>56</v>
      </c>
      <c r="B126" s="8">
        <v>0.64956018518518521</v>
      </c>
      <c r="C126" s="8">
        <v>0.65035879629629634</v>
      </c>
      <c r="D126" s="8">
        <v>0.65062500000000001</v>
      </c>
      <c r="E126" s="8">
        <f t="shared" si="2"/>
        <v>7.9861111111112493E-4</v>
      </c>
      <c r="F126" s="8">
        <f t="shared" si="3"/>
        <v>2.662037037036713E-4</v>
      </c>
      <c r="I126" s="7">
        <v>56</v>
      </c>
      <c r="J126" s="8">
        <v>0.65228009259259256</v>
      </c>
      <c r="K126" s="8">
        <v>0.65523148148148147</v>
      </c>
      <c r="L126" s="8">
        <v>0.65574074074074074</v>
      </c>
      <c r="M126" s="8">
        <f t="shared" si="4"/>
        <v>2.9513888888889062E-3</v>
      </c>
      <c r="N126" s="8">
        <f t="shared" si="5"/>
        <v>5.0925925925926485E-4</v>
      </c>
      <c r="P126" s="1"/>
    </row>
    <row r="127" spans="1:16" x14ac:dyDescent="0.45">
      <c r="A127" s="7">
        <v>57</v>
      </c>
      <c r="B127" s="8">
        <v>0.64997685185185183</v>
      </c>
      <c r="C127" s="8">
        <v>0.65063657407407405</v>
      </c>
      <c r="D127" s="8">
        <v>0.65090277777777783</v>
      </c>
      <c r="E127" s="8">
        <f t="shared" si="2"/>
        <v>6.5972222222221433E-4</v>
      </c>
      <c r="F127" s="8">
        <f t="shared" si="3"/>
        <v>2.6620370370378232E-4</v>
      </c>
      <c r="I127" s="7">
        <v>57</v>
      </c>
      <c r="J127" s="8">
        <v>0.65246527777777774</v>
      </c>
      <c r="K127" s="8">
        <v>0.65574074074074074</v>
      </c>
      <c r="L127" s="8">
        <v>0.65611111111111109</v>
      </c>
      <c r="M127" s="8">
        <f t="shared" si="4"/>
        <v>3.2754629629629939E-3</v>
      </c>
      <c r="N127" s="8">
        <f t="shared" si="5"/>
        <v>3.7037037037035425E-4</v>
      </c>
      <c r="P127" s="1"/>
    </row>
    <row r="128" spans="1:16" x14ac:dyDescent="0.45">
      <c r="A128" s="7">
        <v>58</v>
      </c>
      <c r="B128" s="8">
        <v>0.65034722222222219</v>
      </c>
      <c r="C128" s="8">
        <v>0.65090277777777783</v>
      </c>
      <c r="D128" s="8">
        <v>0.65186342592592594</v>
      </c>
      <c r="E128" s="8">
        <f t="shared" si="2"/>
        <v>5.555555555556424E-4</v>
      </c>
      <c r="F128" s="8">
        <f t="shared" si="3"/>
        <v>9.6064814814811328E-4</v>
      </c>
      <c r="I128" s="7">
        <v>58</v>
      </c>
      <c r="J128" s="8">
        <v>0.65298611111111116</v>
      </c>
      <c r="K128" s="8">
        <v>0.65611111111111109</v>
      </c>
      <c r="L128" s="8">
        <v>0.6567708333333333</v>
      </c>
      <c r="M128" s="8">
        <f t="shared" si="4"/>
        <v>3.1249999999999334E-3</v>
      </c>
      <c r="N128" s="8">
        <f t="shared" si="5"/>
        <v>6.5972222222221433E-4</v>
      </c>
      <c r="P128" s="1"/>
    </row>
    <row r="129" spans="1:16" x14ac:dyDescent="0.45">
      <c r="A129" s="7">
        <v>59</v>
      </c>
      <c r="B129" s="8">
        <v>0.65105324074074078</v>
      </c>
      <c r="C129" s="8">
        <v>0.65187499999999998</v>
      </c>
      <c r="D129" s="8">
        <v>0.65437500000000004</v>
      </c>
      <c r="E129" s="8">
        <f t="shared" si="2"/>
        <v>8.2175925925920268E-4</v>
      </c>
      <c r="F129" s="8">
        <f t="shared" si="3"/>
        <v>2.5000000000000577E-3</v>
      </c>
      <c r="I129" s="7">
        <v>59</v>
      </c>
      <c r="J129" s="8">
        <v>0.65392361111111108</v>
      </c>
      <c r="K129" s="8">
        <v>0.6567708333333333</v>
      </c>
      <c r="L129" s="8">
        <v>0.65776620370370376</v>
      </c>
      <c r="M129" s="8">
        <f t="shared" si="4"/>
        <v>2.8472222222222232E-3</v>
      </c>
      <c r="N129" s="8">
        <f t="shared" si="5"/>
        <v>9.9537037037045195E-4</v>
      </c>
      <c r="P129" s="1"/>
    </row>
    <row r="130" spans="1:16" x14ac:dyDescent="0.45">
      <c r="A130" s="7">
        <v>60</v>
      </c>
      <c r="B130" s="8">
        <v>0.65243055555555551</v>
      </c>
      <c r="C130" s="8">
        <v>0.65439814814814812</v>
      </c>
      <c r="D130" s="8">
        <v>0.65461805555555552</v>
      </c>
      <c r="E130" s="8">
        <f t="shared" si="2"/>
        <v>1.9675925925926041E-3</v>
      </c>
      <c r="F130" s="8">
        <f t="shared" si="3"/>
        <v>2.1990740740740478E-4</v>
      </c>
      <c r="I130" s="7">
        <v>60</v>
      </c>
      <c r="J130" s="8">
        <v>0.65508101851851852</v>
      </c>
      <c r="K130" s="8">
        <v>0.65776620370370376</v>
      </c>
      <c r="L130" s="8">
        <v>0.65886574074074078</v>
      </c>
      <c r="M130" s="8">
        <f t="shared" si="4"/>
        <v>2.6851851851852349E-3</v>
      </c>
      <c r="N130" s="8">
        <f t="shared" si="5"/>
        <v>1.0995370370370239E-3</v>
      </c>
      <c r="P130" s="1"/>
    </row>
    <row r="131" spans="1:16" x14ac:dyDescent="0.45">
      <c r="A131" s="7">
        <v>61</v>
      </c>
      <c r="B131" s="8">
        <v>0.65249999999999997</v>
      </c>
      <c r="C131" s="8">
        <v>0.65462962962962967</v>
      </c>
      <c r="D131" s="8">
        <v>0.65486111111111112</v>
      </c>
      <c r="E131" s="8">
        <f t="shared" si="2"/>
        <v>2.1296296296297035E-3</v>
      </c>
      <c r="F131" s="8">
        <f t="shared" si="3"/>
        <v>2.3148148148144365E-4</v>
      </c>
      <c r="I131" s="7">
        <v>61</v>
      </c>
      <c r="J131" s="8">
        <v>0.65678240740740745</v>
      </c>
      <c r="K131" s="8">
        <v>0.65886574074074078</v>
      </c>
      <c r="L131" s="8">
        <v>0.65979166666666667</v>
      </c>
      <c r="M131" s="8">
        <f t="shared" si="4"/>
        <v>2.0833333333333259E-3</v>
      </c>
      <c r="N131" s="8">
        <f t="shared" si="5"/>
        <v>9.2592592592588563E-4</v>
      </c>
      <c r="P131" s="1"/>
    </row>
    <row r="132" spans="1:16" x14ac:dyDescent="0.45">
      <c r="A132" s="7">
        <v>62</v>
      </c>
      <c r="B132" s="8">
        <v>0.65339120370370374</v>
      </c>
      <c r="C132" s="8">
        <v>0.65487268518518515</v>
      </c>
      <c r="D132" s="8">
        <v>0.65619212962962958</v>
      </c>
      <c r="E132" s="8">
        <f t="shared" si="2"/>
        <v>1.481481481481417E-3</v>
      </c>
      <c r="F132" s="8">
        <f t="shared" si="3"/>
        <v>1.3194444444444287E-3</v>
      </c>
      <c r="G132" t="s">
        <v>13</v>
      </c>
      <c r="I132" s="7">
        <v>62</v>
      </c>
      <c r="J132" s="8">
        <v>0.65773148148148153</v>
      </c>
      <c r="K132" s="8">
        <v>0.65979166666666667</v>
      </c>
      <c r="L132" s="8">
        <v>0.66068287037037032</v>
      </c>
      <c r="M132" s="8">
        <f t="shared" si="4"/>
        <v>2.0601851851851372E-3</v>
      </c>
      <c r="N132" s="8">
        <f t="shared" si="5"/>
        <v>8.9120370370365798E-4</v>
      </c>
      <c r="P132" s="1"/>
    </row>
    <row r="133" spans="1:16" x14ac:dyDescent="0.45">
      <c r="A133" s="7">
        <v>63</v>
      </c>
      <c r="B133" s="8">
        <v>0.65531249999999996</v>
      </c>
      <c r="C133" s="8">
        <v>0.65620370370370373</v>
      </c>
      <c r="D133" s="8">
        <v>0.65708333333333335</v>
      </c>
      <c r="E133" s="8">
        <f t="shared" si="2"/>
        <v>8.91203703703769E-4</v>
      </c>
      <c r="F133" s="8">
        <f t="shared" si="3"/>
        <v>8.796296296296191E-4</v>
      </c>
      <c r="I133" s="7">
        <v>63</v>
      </c>
      <c r="J133" s="8">
        <v>0.65797453703703701</v>
      </c>
      <c r="K133" s="8">
        <v>0.66068287037037032</v>
      </c>
      <c r="L133" s="8">
        <v>0.66121527777777778</v>
      </c>
      <c r="M133" s="8">
        <f t="shared" si="4"/>
        <v>2.7083333333333126E-3</v>
      </c>
      <c r="N133" s="8">
        <f t="shared" si="5"/>
        <v>5.3240740740745363E-4</v>
      </c>
      <c r="P133" s="1"/>
    </row>
    <row r="134" spans="1:16" x14ac:dyDescent="0.45">
      <c r="A134" s="7">
        <v>64</v>
      </c>
      <c r="B134" s="8">
        <v>0.65664351851851854</v>
      </c>
      <c r="C134" s="8">
        <v>0.65708333333333335</v>
      </c>
      <c r="D134" s="8">
        <v>0.65749999999999997</v>
      </c>
      <c r="E134" s="8">
        <f t="shared" si="2"/>
        <v>4.3981481481480955E-4</v>
      </c>
      <c r="F134" s="8">
        <f t="shared" si="3"/>
        <v>4.1666666666662078E-4</v>
      </c>
      <c r="I134" s="7">
        <v>64</v>
      </c>
      <c r="J134" s="8">
        <v>0.6584606481481482</v>
      </c>
      <c r="K134" s="8">
        <v>0.66121527777777778</v>
      </c>
      <c r="L134" s="8">
        <v>0.66184027777777776</v>
      </c>
      <c r="M134" s="8">
        <f t="shared" si="4"/>
        <v>2.7546296296295791E-3</v>
      </c>
      <c r="N134" s="8">
        <f t="shared" si="5"/>
        <v>6.2499999999998668E-4</v>
      </c>
      <c r="P134" s="1"/>
    </row>
    <row r="135" spans="1:16" x14ac:dyDescent="0.45">
      <c r="A135" s="7">
        <v>65</v>
      </c>
      <c r="B135" s="8">
        <v>0.65686342592592595</v>
      </c>
      <c r="C135" s="8">
        <v>0.65752314814814816</v>
      </c>
      <c r="D135" s="8">
        <v>0.65806712962962965</v>
      </c>
      <c r="E135" s="8">
        <f t="shared" si="2"/>
        <v>6.5972222222221433E-4</v>
      </c>
      <c r="F135" s="8">
        <f t="shared" si="3"/>
        <v>5.439814814814925E-4</v>
      </c>
      <c r="I135" s="7">
        <v>65</v>
      </c>
      <c r="J135" s="8">
        <v>0.65979166666666667</v>
      </c>
      <c r="K135" s="8">
        <v>0.66184027777777776</v>
      </c>
      <c r="L135" s="8">
        <v>0.66239583333333329</v>
      </c>
      <c r="M135" s="8">
        <f t="shared" si="4"/>
        <v>2.0486111111110983E-3</v>
      </c>
      <c r="N135" s="8">
        <f t="shared" si="5"/>
        <v>5.5555555555553138E-4</v>
      </c>
      <c r="P135" s="1"/>
    </row>
    <row r="136" spans="1:16" x14ac:dyDescent="0.45">
      <c r="A136" s="7">
        <v>66</v>
      </c>
      <c r="B136" s="8">
        <v>0.65774305555555557</v>
      </c>
      <c r="C136" s="8">
        <v>0.65807870370370369</v>
      </c>
      <c r="D136" s="8">
        <v>0.65896990740740746</v>
      </c>
      <c r="E136" s="8">
        <f t="shared" ref="E136:E145" si="6">$C136-$B136</f>
        <v>3.356481481481266E-4</v>
      </c>
      <c r="F136" s="8">
        <f t="shared" ref="F136:F145" si="7">$D136-$C136</f>
        <v>8.91203703703769E-4</v>
      </c>
      <c r="I136" s="7">
        <v>66</v>
      </c>
      <c r="J136" s="8">
        <v>0.66186342592592595</v>
      </c>
      <c r="K136" s="8">
        <v>0.66239583333333329</v>
      </c>
      <c r="L136" s="8">
        <v>0.66318287037037038</v>
      </c>
      <c r="M136" s="8">
        <f t="shared" ref="M136:M142" si="8">$K136-$J136</f>
        <v>5.324074074073426E-4</v>
      </c>
      <c r="N136" s="8">
        <f t="shared" ref="N136:N142" si="9">$L136-$K136</f>
        <v>7.8703703703708605E-4</v>
      </c>
      <c r="P136" s="1"/>
    </row>
    <row r="137" spans="1:16" x14ac:dyDescent="0.45">
      <c r="A137" s="7">
        <v>67</v>
      </c>
      <c r="B137" s="8">
        <v>0.65806712962962965</v>
      </c>
      <c r="C137" s="8">
        <v>0.65900462962962958</v>
      </c>
      <c r="D137" s="8">
        <v>0.66053240740740737</v>
      </c>
      <c r="E137" s="8">
        <f t="shared" si="6"/>
        <v>9.374999999999245E-4</v>
      </c>
      <c r="F137" s="8">
        <f t="shared" si="7"/>
        <v>1.5277777777777946E-3</v>
      </c>
      <c r="I137" s="7">
        <v>67</v>
      </c>
      <c r="J137" s="8">
        <v>0.66254629629629624</v>
      </c>
      <c r="K137" s="8">
        <v>0.66318287037037038</v>
      </c>
      <c r="L137" s="8">
        <v>0.66405092592592596</v>
      </c>
      <c r="M137" s="8">
        <f t="shared" si="8"/>
        <v>6.3657407407413658E-4</v>
      </c>
      <c r="N137" s="8">
        <f t="shared" si="9"/>
        <v>8.6805555555558023E-4</v>
      </c>
      <c r="P137" s="1"/>
    </row>
    <row r="138" spans="1:16" x14ac:dyDescent="0.45">
      <c r="A138" s="7">
        <v>68</v>
      </c>
      <c r="B138" s="8">
        <v>0.65835648148148151</v>
      </c>
      <c r="C138" s="8">
        <v>0.66053240740740737</v>
      </c>
      <c r="D138" s="8">
        <v>0.66118055555555555</v>
      </c>
      <c r="E138" s="8">
        <f t="shared" si="6"/>
        <v>2.175925925925859E-3</v>
      </c>
      <c r="F138" s="8">
        <f t="shared" si="7"/>
        <v>6.4814814814817545E-4</v>
      </c>
      <c r="I138" s="7">
        <v>68</v>
      </c>
      <c r="J138" s="8">
        <v>0.66274305555555557</v>
      </c>
      <c r="K138" s="8">
        <v>0.66405092592592596</v>
      </c>
      <c r="L138" s="8">
        <v>0.66497685185185185</v>
      </c>
      <c r="M138" s="8">
        <f t="shared" si="8"/>
        <v>1.3078703703703898E-3</v>
      </c>
      <c r="N138" s="8">
        <f t="shared" si="9"/>
        <v>9.2592592592588563E-4</v>
      </c>
      <c r="P138" s="1"/>
    </row>
    <row r="139" spans="1:16" x14ac:dyDescent="0.45">
      <c r="A139" s="7">
        <v>69</v>
      </c>
      <c r="B139" s="8">
        <v>0.65967592592592594</v>
      </c>
      <c r="C139" s="8">
        <v>0.66119212962962959</v>
      </c>
      <c r="D139" s="8">
        <v>0.66159722222222217</v>
      </c>
      <c r="E139" s="8">
        <f t="shared" si="6"/>
        <v>1.5162037037036447E-3</v>
      </c>
      <c r="F139" s="8">
        <f t="shared" si="7"/>
        <v>4.050925925925819E-4</v>
      </c>
      <c r="I139" s="7">
        <v>69</v>
      </c>
      <c r="J139" s="8">
        <v>0.66347222222222224</v>
      </c>
      <c r="K139" s="8">
        <v>0.66497685185185185</v>
      </c>
      <c r="L139" s="8">
        <v>0.6654282407407407</v>
      </c>
      <c r="M139" s="8">
        <f t="shared" si="8"/>
        <v>1.5046296296296058E-3</v>
      </c>
      <c r="N139" s="8">
        <f t="shared" si="9"/>
        <v>4.5138888888884843E-4</v>
      </c>
      <c r="P139" s="1"/>
    </row>
    <row r="140" spans="1:16" x14ac:dyDescent="0.45">
      <c r="A140" s="7">
        <v>70</v>
      </c>
      <c r="B140" s="8">
        <v>0.66010416666666671</v>
      </c>
      <c r="C140" s="8">
        <v>0.66160879629629632</v>
      </c>
      <c r="D140" s="8">
        <v>0.66236111111111107</v>
      </c>
      <c r="E140" s="8">
        <f t="shared" si="6"/>
        <v>1.5046296296296058E-3</v>
      </c>
      <c r="F140" s="8">
        <f t="shared" si="7"/>
        <v>7.5231481481474738E-4</v>
      </c>
      <c r="I140" s="7">
        <v>70</v>
      </c>
      <c r="J140" s="8">
        <v>0.66451388888888885</v>
      </c>
      <c r="K140" s="8">
        <v>0.6654282407407407</v>
      </c>
      <c r="L140" s="8">
        <v>0.66592592592592592</v>
      </c>
      <c r="M140" s="8">
        <f t="shared" si="8"/>
        <v>9.1435185185184675E-4</v>
      </c>
      <c r="N140" s="8">
        <f t="shared" si="9"/>
        <v>4.9768518518522598E-4</v>
      </c>
      <c r="P140" s="1"/>
    </row>
    <row r="141" spans="1:16" x14ac:dyDescent="0.45">
      <c r="A141" s="7">
        <v>71</v>
      </c>
      <c r="B141" s="8">
        <v>0.66042824074074069</v>
      </c>
      <c r="C141" s="8">
        <v>0.66236111111111107</v>
      </c>
      <c r="D141" s="8">
        <v>0.66326388888888888</v>
      </c>
      <c r="E141" s="8">
        <f t="shared" si="6"/>
        <v>1.9328703703703765E-3</v>
      </c>
      <c r="F141" s="8">
        <f t="shared" si="7"/>
        <v>9.0277777777780788E-4</v>
      </c>
      <c r="I141" s="7">
        <v>71</v>
      </c>
      <c r="J141" s="8">
        <v>0.66484953703703709</v>
      </c>
      <c r="K141" s="8">
        <v>0.66592592592592592</v>
      </c>
      <c r="L141" s="8">
        <v>0.66671296296296301</v>
      </c>
      <c r="M141" s="8">
        <f t="shared" si="8"/>
        <v>1.0763888888888351E-3</v>
      </c>
      <c r="N141" s="8">
        <f t="shared" si="9"/>
        <v>7.8703703703708605E-4</v>
      </c>
      <c r="P141" s="1"/>
    </row>
    <row r="142" spans="1:16" x14ac:dyDescent="0.45">
      <c r="A142" s="7">
        <v>72</v>
      </c>
      <c r="B142" s="8">
        <v>0.66305555555555551</v>
      </c>
      <c r="C142" s="8">
        <v>0.66328703703703706</v>
      </c>
      <c r="D142" s="8">
        <v>0.66378472222222218</v>
      </c>
      <c r="E142" s="8">
        <f t="shared" si="6"/>
        <v>2.3148148148155467E-4</v>
      </c>
      <c r="F142" s="8">
        <f t="shared" si="7"/>
        <v>4.9768518518511495E-4</v>
      </c>
      <c r="G142" t="s">
        <v>13</v>
      </c>
      <c r="I142" s="7">
        <v>72</v>
      </c>
      <c r="J142" s="8">
        <v>0.66537037037037039</v>
      </c>
      <c r="K142" s="8">
        <v>0.66671296296296301</v>
      </c>
      <c r="L142" s="8">
        <v>0.66748842592592594</v>
      </c>
      <c r="M142" s="8">
        <f t="shared" si="8"/>
        <v>1.3425925925926174E-3</v>
      </c>
      <c r="N142" s="8">
        <f t="shared" si="9"/>
        <v>7.7546296296293615E-4</v>
      </c>
      <c r="P142" s="1"/>
    </row>
    <row r="143" spans="1:16" x14ac:dyDescent="0.45">
      <c r="A143" s="7">
        <v>73</v>
      </c>
      <c r="B143" s="8">
        <v>0.66343750000000001</v>
      </c>
      <c r="C143" s="8">
        <v>0.66420138888888891</v>
      </c>
      <c r="D143" s="8">
        <v>0.66475694444444444</v>
      </c>
      <c r="E143" s="8">
        <f t="shared" si="6"/>
        <v>7.6388888888889728E-4</v>
      </c>
      <c r="F143" s="8">
        <f t="shared" si="7"/>
        <v>5.5555555555553138E-4</v>
      </c>
      <c r="P143" s="1"/>
    </row>
    <row r="144" spans="1:16" x14ac:dyDescent="0.45">
      <c r="A144" s="7">
        <v>74</v>
      </c>
      <c r="B144" s="8">
        <v>0.66364583333333338</v>
      </c>
      <c r="C144" s="8">
        <v>0.66478009259259263</v>
      </c>
      <c r="D144" s="8">
        <v>0.66538194444444443</v>
      </c>
      <c r="E144" s="8">
        <f t="shared" si="6"/>
        <v>1.1342592592592515E-3</v>
      </c>
      <c r="F144" s="8">
        <f t="shared" si="7"/>
        <v>6.018518518517979E-4</v>
      </c>
    </row>
    <row r="145" spans="1:15" x14ac:dyDescent="0.45">
      <c r="A145" s="7">
        <v>75</v>
      </c>
      <c r="B145" s="8">
        <v>0.66427083333333337</v>
      </c>
      <c r="C145" s="8">
        <v>0.66539351851851847</v>
      </c>
      <c r="D145" s="8">
        <v>0.66618055555555555</v>
      </c>
      <c r="E145" s="8">
        <f t="shared" si="6"/>
        <v>1.1226851851851016E-3</v>
      </c>
      <c r="F145" s="8">
        <f t="shared" si="7"/>
        <v>7.8703703703708605E-4</v>
      </c>
    </row>
    <row r="147" spans="1:15" x14ac:dyDescent="0.45">
      <c r="A147" t="s">
        <v>23</v>
      </c>
      <c r="I147" t="s">
        <v>24</v>
      </c>
    </row>
    <row r="148" spans="1:15" x14ac:dyDescent="0.45">
      <c r="A148" s="10" t="s">
        <v>4</v>
      </c>
      <c r="B148" s="11" t="s">
        <v>5</v>
      </c>
      <c r="C148" s="11" t="s">
        <v>6</v>
      </c>
      <c r="D148" s="11" t="s">
        <v>7</v>
      </c>
      <c r="E148" s="11" t="s">
        <v>8</v>
      </c>
      <c r="F148" s="11" t="s">
        <v>10</v>
      </c>
      <c r="G148" s="12" t="s">
        <v>9</v>
      </c>
      <c r="I148" s="10" t="s">
        <v>26</v>
      </c>
      <c r="J148" s="11" t="s">
        <v>5</v>
      </c>
      <c r="K148" s="11" t="s">
        <v>6</v>
      </c>
      <c r="L148" s="11" t="s">
        <v>7</v>
      </c>
      <c r="M148" s="11" t="s">
        <v>8</v>
      </c>
      <c r="N148" s="11" t="s">
        <v>10</v>
      </c>
      <c r="O148" s="12" t="s">
        <v>9</v>
      </c>
    </row>
    <row r="149" spans="1:15" x14ac:dyDescent="0.45">
      <c r="A149" s="7">
        <v>1</v>
      </c>
      <c r="B149" s="8">
        <v>0.60312500000000002</v>
      </c>
      <c r="C149" s="8">
        <v>0.60312500000000002</v>
      </c>
      <c r="D149" s="8">
        <v>0.60445601851851849</v>
      </c>
      <c r="E149" s="8">
        <f>$C149-$B149</f>
        <v>0</v>
      </c>
      <c r="F149" s="8">
        <f>$D149-$C149</f>
        <v>1.3310185185184675E-3</v>
      </c>
      <c r="I149" s="7">
        <v>1</v>
      </c>
      <c r="J149" s="8">
        <v>0.60387731481481477</v>
      </c>
      <c r="K149" s="8">
        <v>0.60387731481481477</v>
      </c>
      <c r="L149" s="8">
        <v>0.60496527777777775</v>
      </c>
      <c r="M149" s="8">
        <f>$K149-$J149</f>
        <v>0</v>
      </c>
      <c r="N149" s="8">
        <f>$L149-$K149</f>
        <v>1.087962962962985E-3</v>
      </c>
    </row>
    <row r="150" spans="1:15" x14ac:dyDescent="0.45">
      <c r="A150" s="7">
        <v>2</v>
      </c>
      <c r="B150" s="8">
        <v>0.60422453703703705</v>
      </c>
      <c r="C150" s="8">
        <v>0.60445601851851849</v>
      </c>
      <c r="D150" s="8">
        <v>0.60509259259259263</v>
      </c>
      <c r="E150" s="8">
        <f t="shared" ref="E150:E213" si="10">$C150-$B150</f>
        <v>2.3148148148144365E-4</v>
      </c>
      <c r="F150" s="8">
        <f t="shared" ref="F150:F213" si="11">$D150-$C150</f>
        <v>6.3657407407413658E-4</v>
      </c>
      <c r="I150" s="7">
        <v>2</v>
      </c>
      <c r="J150" s="8">
        <v>0.60464120370370367</v>
      </c>
      <c r="K150" s="8">
        <v>0.60496527777777775</v>
      </c>
      <c r="L150" s="8">
        <v>0.60539351851851853</v>
      </c>
      <c r="M150" s="8">
        <f t="shared" ref="M150:M213" si="12">$K150-$J150</f>
        <v>3.2407407407408773E-4</v>
      </c>
      <c r="N150" s="8">
        <f t="shared" ref="N150:N213" si="13">$L150-$K150</f>
        <v>4.2824074074077068E-4</v>
      </c>
    </row>
    <row r="151" spans="1:15" x14ac:dyDescent="0.45">
      <c r="A151" s="7">
        <v>3</v>
      </c>
      <c r="B151" s="8">
        <v>0.60520833333333335</v>
      </c>
      <c r="C151" s="8">
        <v>0.60520833333333335</v>
      </c>
      <c r="D151" s="8">
        <v>0.6060416666666667</v>
      </c>
      <c r="E151" s="8">
        <f t="shared" si="10"/>
        <v>0</v>
      </c>
      <c r="F151" s="8">
        <f t="shared" si="11"/>
        <v>8.3333333333335258E-4</v>
      </c>
      <c r="I151" s="7">
        <v>3</v>
      </c>
      <c r="J151" s="8">
        <v>0.60528935185185184</v>
      </c>
      <c r="K151" s="8">
        <v>0.60539351851851853</v>
      </c>
      <c r="L151" s="8">
        <v>0.60609953703703701</v>
      </c>
      <c r="M151" s="8">
        <f t="shared" si="12"/>
        <v>1.0416666666668295E-4</v>
      </c>
      <c r="N151" s="8">
        <f t="shared" si="13"/>
        <v>7.0601851851848085E-4</v>
      </c>
    </row>
    <row r="152" spans="1:15" x14ac:dyDescent="0.45">
      <c r="A152" s="7">
        <v>4</v>
      </c>
      <c r="B152" s="8">
        <v>0.60584490740740737</v>
      </c>
      <c r="C152" s="8">
        <v>0.6060416666666667</v>
      </c>
      <c r="D152" s="8">
        <v>0.60685185185185186</v>
      </c>
      <c r="E152" s="8">
        <f t="shared" si="10"/>
        <v>1.9675925925932702E-4</v>
      </c>
      <c r="F152" s="8">
        <f t="shared" si="11"/>
        <v>8.101851851851638E-4</v>
      </c>
      <c r="I152" s="7">
        <v>4</v>
      </c>
      <c r="J152" s="8">
        <v>0.60583333333333333</v>
      </c>
      <c r="K152" s="8">
        <v>0.60609953703703701</v>
      </c>
      <c r="L152" s="8">
        <v>0.60699074074074078</v>
      </c>
      <c r="M152" s="8">
        <f t="shared" si="12"/>
        <v>2.662037037036713E-4</v>
      </c>
      <c r="N152" s="8">
        <f t="shared" si="13"/>
        <v>8.91203703703769E-4</v>
      </c>
      <c r="O152" t="s">
        <v>0</v>
      </c>
    </row>
    <row r="153" spans="1:15" x14ac:dyDescent="0.45">
      <c r="A153" s="7">
        <v>5</v>
      </c>
      <c r="B153" s="8">
        <v>0.6065625</v>
      </c>
      <c r="C153" s="8">
        <v>0.60685185185185186</v>
      </c>
      <c r="D153" s="8">
        <v>0.60766203703703703</v>
      </c>
      <c r="E153" s="8">
        <f t="shared" si="10"/>
        <v>2.8935185185186008E-4</v>
      </c>
      <c r="F153" s="8">
        <f t="shared" si="11"/>
        <v>8.101851851851638E-4</v>
      </c>
      <c r="I153" s="7">
        <v>5</v>
      </c>
      <c r="J153" s="8">
        <v>0.60707175925925927</v>
      </c>
      <c r="K153" s="8">
        <v>0.60707175925925927</v>
      </c>
      <c r="L153" s="8">
        <v>0.60755787037037035</v>
      </c>
      <c r="M153" s="8">
        <f t="shared" si="12"/>
        <v>0</v>
      </c>
      <c r="N153" s="8">
        <f t="shared" si="13"/>
        <v>4.8611111111107608E-4</v>
      </c>
    </row>
    <row r="154" spans="1:15" x14ac:dyDescent="0.45">
      <c r="A154" s="7">
        <v>6</v>
      </c>
      <c r="B154" s="8">
        <v>0.60693287037037036</v>
      </c>
      <c r="C154" s="8">
        <v>0.60766203703703703</v>
      </c>
      <c r="D154" s="8">
        <v>0.60821759259259256</v>
      </c>
      <c r="E154" s="8">
        <f t="shared" si="10"/>
        <v>7.2916666666666963E-4</v>
      </c>
      <c r="F154" s="8">
        <f t="shared" si="11"/>
        <v>5.5555555555553138E-4</v>
      </c>
      <c r="I154" s="7">
        <v>6</v>
      </c>
      <c r="J154" s="8">
        <v>0.60790509259259262</v>
      </c>
      <c r="K154" s="8">
        <v>0.60790509259259262</v>
      </c>
      <c r="L154" s="8">
        <v>0.60883101851851851</v>
      </c>
      <c r="M154" s="8">
        <f t="shared" si="12"/>
        <v>0</v>
      </c>
      <c r="N154" s="8">
        <f t="shared" si="13"/>
        <v>9.2592592592588563E-4</v>
      </c>
    </row>
    <row r="155" spans="1:15" x14ac:dyDescent="0.45">
      <c r="A155" s="7">
        <v>7</v>
      </c>
      <c r="B155" s="8">
        <v>0.56626157407407407</v>
      </c>
      <c r="C155" s="8">
        <v>0.60821759259259256</v>
      </c>
      <c r="D155" s="8">
        <v>0.60844907407407411</v>
      </c>
      <c r="E155" s="8">
        <f t="shared" si="10"/>
        <v>4.195601851851849E-2</v>
      </c>
      <c r="F155" s="8">
        <f t="shared" si="11"/>
        <v>2.3148148148155467E-4</v>
      </c>
      <c r="I155" s="7">
        <v>7</v>
      </c>
      <c r="J155" s="8">
        <v>0.60736111111111113</v>
      </c>
      <c r="K155" s="8">
        <v>0.60883101851851851</v>
      </c>
      <c r="L155" s="8">
        <v>0.60938657407407404</v>
      </c>
      <c r="M155" s="8">
        <f t="shared" si="12"/>
        <v>1.4699074074073781E-3</v>
      </c>
      <c r="N155" s="8">
        <f t="shared" si="13"/>
        <v>5.5555555555553138E-4</v>
      </c>
    </row>
    <row r="156" spans="1:15" x14ac:dyDescent="0.45">
      <c r="A156" s="7">
        <v>8</v>
      </c>
      <c r="B156" s="8">
        <v>0.60857638888888888</v>
      </c>
      <c r="C156" s="8">
        <v>0.60857638888888888</v>
      </c>
      <c r="D156" s="8">
        <v>0.6088541666666667</v>
      </c>
      <c r="E156" s="8">
        <f t="shared" si="10"/>
        <v>0</v>
      </c>
      <c r="F156" s="8">
        <f t="shared" si="11"/>
        <v>2.777777777778212E-4</v>
      </c>
      <c r="I156" s="7">
        <v>8</v>
      </c>
      <c r="J156" s="8">
        <v>0.60899305555555561</v>
      </c>
      <c r="K156" s="8">
        <v>0.60938657407407404</v>
      </c>
      <c r="L156" s="8">
        <v>0.61019675925925931</v>
      </c>
      <c r="M156" s="8">
        <f t="shared" si="12"/>
        <v>3.93518518518432E-4</v>
      </c>
      <c r="N156" s="8">
        <f t="shared" si="13"/>
        <v>8.1018518518527483E-4</v>
      </c>
    </row>
    <row r="157" spans="1:15" x14ac:dyDescent="0.45">
      <c r="A157" s="7">
        <v>9</v>
      </c>
      <c r="B157" s="8">
        <v>0.60925925925925928</v>
      </c>
      <c r="C157" s="8">
        <v>0.60925925925925928</v>
      </c>
      <c r="D157" s="8">
        <v>0.61006944444444444</v>
      </c>
      <c r="E157" s="8">
        <f t="shared" si="10"/>
        <v>0</v>
      </c>
      <c r="F157" s="8">
        <f t="shared" si="11"/>
        <v>8.101851851851638E-4</v>
      </c>
      <c r="I157" s="7">
        <v>9</v>
      </c>
      <c r="J157" s="8">
        <v>0.61010416666666667</v>
      </c>
      <c r="K157" s="8">
        <v>0.61019675925925931</v>
      </c>
      <c r="L157" s="8">
        <v>0.61086805555555557</v>
      </c>
      <c r="M157" s="8">
        <f t="shared" si="12"/>
        <v>9.2592592592644074E-5</v>
      </c>
      <c r="N157" s="8">
        <f t="shared" si="13"/>
        <v>6.712962962962532E-4</v>
      </c>
    </row>
    <row r="158" spans="1:15" x14ac:dyDescent="0.45">
      <c r="A158" s="7">
        <v>10</v>
      </c>
      <c r="B158" s="8">
        <v>0.60990740740740745</v>
      </c>
      <c r="C158" s="8">
        <v>0.61006944444444444</v>
      </c>
      <c r="D158" s="8">
        <v>0.61115740740740743</v>
      </c>
      <c r="E158" s="8">
        <f t="shared" si="10"/>
        <v>1.6203703703698835E-4</v>
      </c>
      <c r="F158" s="8">
        <f t="shared" si="11"/>
        <v>1.087962962962985E-3</v>
      </c>
      <c r="I158" s="7">
        <v>10</v>
      </c>
      <c r="J158" s="8">
        <v>0.61030092592592589</v>
      </c>
      <c r="K158" s="8">
        <v>0.61086805555555557</v>
      </c>
      <c r="L158" s="8">
        <v>0.61165509259259254</v>
      </c>
      <c r="M158" s="8">
        <f t="shared" si="12"/>
        <v>5.6712962962968128E-4</v>
      </c>
      <c r="N158" s="8">
        <f t="shared" si="13"/>
        <v>7.8703703703697503E-4</v>
      </c>
    </row>
    <row r="159" spans="1:15" x14ac:dyDescent="0.45">
      <c r="A159" s="7">
        <v>11</v>
      </c>
      <c r="B159" s="8">
        <v>0.61087962962962961</v>
      </c>
      <c r="C159" s="8">
        <v>0.61115740740740743</v>
      </c>
      <c r="D159" s="8">
        <v>0.61171296296296296</v>
      </c>
      <c r="E159" s="8">
        <f t="shared" si="10"/>
        <v>2.777777777778212E-4</v>
      </c>
      <c r="F159" s="8">
        <f t="shared" si="11"/>
        <v>5.5555555555553138E-4</v>
      </c>
      <c r="I159" s="7">
        <v>11</v>
      </c>
      <c r="J159" s="8">
        <v>0.61115740740740743</v>
      </c>
      <c r="K159" s="8">
        <v>0.61165509259259254</v>
      </c>
      <c r="L159" s="8">
        <v>0.61221064814814818</v>
      </c>
      <c r="M159" s="8">
        <f t="shared" si="12"/>
        <v>4.9768518518511495E-4</v>
      </c>
      <c r="N159" s="8">
        <f t="shared" si="13"/>
        <v>5.555555555556424E-4</v>
      </c>
    </row>
    <row r="160" spans="1:15" x14ac:dyDescent="0.45">
      <c r="A160" s="7">
        <v>12</v>
      </c>
      <c r="B160" s="8">
        <v>0.61144675925925929</v>
      </c>
      <c r="C160" s="8">
        <v>0.61171296296296296</v>
      </c>
      <c r="D160" s="8">
        <v>0.61255787037037035</v>
      </c>
      <c r="E160" s="8">
        <f t="shared" si="10"/>
        <v>2.662037037036713E-4</v>
      </c>
      <c r="F160" s="8">
        <f t="shared" si="11"/>
        <v>8.4490740740739145E-4</v>
      </c>
      <c r="I160" s="7">
        <v>12</v>
      </c>
      <c r="J160" s="8">
        <v>0.61133101851851857</v>
      </c>
      <c r="K160" s="8">
        <v>0.61221064814814818</v>
      </c>
      <c r="L160" s="8">
        <v>0.61329861111111106</v>
      </c>
      <c r="M160" s="8">
        <f t="shared" si="12"/>
        <v>8.796296296296191E-4</v>
      </c>
      <c r="N160" s="8">
        <f t="shared" si="13"/>
        <v>1.087962962962874E-3</v>
      </c>
      <c r="O160" t="s">
        <v>0</v>
      </c>
    </row>
    <row r="161" spans="1:14" x14ac:dyDescent="0.45">
      <c r="A161" s="7">
        <v>13</v>
      </c>
      <c r="B161" s="8">
        <v>0.6131712962962963</v>
      </c>
      <c r="C161" s="8">
        <v>0.6131712962962963</v>
      </c>
      <c r="D161" s="8">
        <v>0.61348379629629635</v>
      </c>
      <c r="E161" s="8">
        <f t="shared" si="10"/>
        <v>0</v>
      </c>
      <c r="F161" s="8">
        <f t="shared" si="11"/>
        <v>3.1250000000004885E-4</v>
      </c>
      <c r="I161" s="7">
        <v>13</v>
      </c>
      <c r="J161" s="8">
        <v>0.61361111111111111</v>
      </c>
      <c r="K161" s="8">
        <v>0.61361111111111111</v>
      </c>
      <c r="L161" s="8">
        <v>0.61444444444444446</v>
      </c>
      <c r="M161" s="8">
        <f t="shared" si="12"/>
        <v>0</v>
      </c>
      <c r="N161" s="8">
        <f t="shared" si="13"/>
        <v>8.3333333333335258E-4</v>
      </c>
    </row>
    <row r="162" spans="1:14" x14ac:dyDescent="0.45">
      <c r="A162" s="7">
        <v>14</v>
      </c>
      <c r="B162" s="8">
        <v>0.61322916666666671</v>
      </c>
      <c r="C162" s="8">
        <v>0.61348379629629635</v>
      </c>
      <c r="D162" s="8">
        <v>0.6137731481481481</v>
      </c>
      <c r="E162" s="8">
        <f t="shared" si="10"/>
        <v>2.5462962962963243E-4</v>
      </c>
      <c r="F162" s="8">
        <f t="shared" si="11"/>
        <v>2.8935185185174905E-4</v>
      </c>
      <c r="I162" s="7">
        <v>14</v>
      </c>
      <c r="J162" s="8">
        <v>0.6138541666666667</v>
      </c>
      <c r="K162" s="8">
        <v>0.61444444444444446</v>
      </c>
      <c r="L162" s="8">
        <v>0.61508101851851849</v>
      </c>
      <c r="M162" s="8">
        <f t="shared" si="12"/>
        <v>5.9027777777775903E-4</v>
      </c>
      <c r="N162" s="8">
        <f t="shared" si="13"/>
        <v>6.3657407407402555E-4</v>
      </c>
    </row>
    <row r="163" spans="1:14" x14ac:dyDescent="0.45">
      <c r="A163" s="7">
        <v>15</v>
      </c>
      <c r="B163" s="8">
        <v>0.61451388888888892</v>
      </c>
      <c r="C163" s="8">
        <v>0.61451388888888892</v>
      </c>
      <c r="D163" s="8">
        <v>0.61504629629629626</v>
      </c>
      <c r="E163" s="8">
        <f t="shared" si="10"/>
        <v>0</v>
      </c>
      <c r="F163" s="8">
        <f t="shared" si="11"/>
        <v>5.324074074073426E-4</v>
      </c>
      <c r="I163" s="7">
        <v>15</v>
      </c>
      <c r="J163" s="8">
        <v>0.6149189814814815</v>
      </c>
      <c r="K163" s="8">
        <v>0.61508101851851849</v>
      </c>
      <c r="L163" s="8">
        <v>0.61548611111111107</v>
      </c>
      <c r="M163" s="8">
        <f t="shared" si="12"/>
        <v>1.6203703703698835E-4</v>
      </c>
      <c r="N163" s="8">
        <f t="shared" si="13"/>
        <v>4.050925925925819E-4</v>
      </c>
    </row>
    <row r="164" spans="1:14" x14ac:dyDescent="0.45">
      <c r="A164" s="7">
        <v>16</v>
      </c>
      <c r="B164" s="8">
        <v>0.61474537037037036</v>
      </c>
      <c r="C164" s="8">
        <v>0.61504629629629626</v>
      </c>
      <c r="D164" s="8">
        <v>0.61530092592592589</v>
      </c>
      <c r="E164" s="8">
        <f t="shared" si="10"/>
        <v>3.0092592592589895E-4</v>
      </c>
      <c r="F164" s="8">
        <f t="shared" si="11"/>
        <v>2.5462962962963243E-4</v>
      </c>
      <c r="I164" s="7">
        <v>16</v>
      </c>
      <c r="J164" s="8">
        <v>0.61518518518518517</v>
      </c>
      <c r="K164" s="8">
        <v>0.61548611111111107</v>
      </c>
      <c r="L164" s="8">
        <v>0.61607638888888894</v>
      </c>
      <c r="M164" s="8">
        <f t="shared" si="12"/>
        <v>3.0092592592589895E-4</v>
      </c>
      <c r="N164" s="8">
        <f t="shared" si="13"/>
        <v>5.9027777777787005E-4</v>
      </c>
    </row>
    <row r="165" spans="1:14" x14ac:dyDescent="0.45">
      <c r="A165" s="7">
        <v>17</v>
      </c>
      <c r="B165" s="8">
        <v>0.61493055555555554</v>
      </c>
      <c r="C165" s="8">
        <v>0.61530092592592589</v>
      </c>
      <c r="D165" s="8">
        <v>0.61593750000000003</v>
      </c>
      <c r="E165" s="8">
        <f t="shared" si="10"/>
        <v>3.7037037037035425E-4</v>
      </c>
      <c r="F165" s="8">
        <f t="shared" si="11"/>
        <v>6.3657407407413658E-4</v>
      </c>
      <c r="I165" s="7">
        <v>17</v>
      </c>
      <c r="J165" s="8">
        <v>0.61619212962962966</v>
      </c>
      <c r="K165" s="8">
        <v>0.61619212962962966</v>
      </c>
      <c r="L165" s="8">
        <v>0.61717592592592596</v>
      </c>
      <c r="M165" s="8">
        <f t="shared" si="12"/>
        <v>0</v>
      </c>
      <c r="N165" s="8">
        <f t="shared" si="13"/>
        <v>9.8379629629630205E-4</v>
      </c>
    </row>
    <row r="166" spans="1:14" x14ac:dyDescent="0.45">
      <c r="A166" s="7">
        <v>18</v>
      </c>
      <c r="B166" s="8">
        <v>0.61541666666666661</v>
      </c>
      <c r="C166" s="8">
        <v>0.61593750000000003</v>
      </c>
      <c r="D166" s="8">
        <v>0.61668981481481477</v>
      </c>
      <c r="E166" s="8">
        <f t="shared" si="10"/>
        <v>5.2083333333341475E-4</v>
      </c>
      <c r="F166" s="8">
        <f t="shared" si="11"/>
        <v>7.5231481481474738E-4</v>
      </c>
      <c r="I166" s="7">
        <v>18</v>
      </c>
      <c r="J166" s="8">
        <v>0.61724537037037042</v>
      </c>
      <c r="K166" s="8">
        <v>0.61724537037037042</v>
      </c>
      <c r="L166" s="8">
        <v>0.61799768518518516</v>
      </c>
      <c r="M166" s="8">
        <f t="shared" si="12"/>
        <v>0</v>
      </c>
      <c r="N166" s="8">
        <f t="shared" si="13"/>
        <v>7.5231481481474738E-4</v>
      </c>
    </row>
    <row r="167" spans="1:14" x14ac:dyDescent="0.45">
      <c r="A167" s="7">
        <v>19</v>
      </c>
      <c r="B167" s="8">
        <v>0.61631944444444442</v>
      </c>
      <c r="C167" s="8">
        <v>0.61668981481481477</v>
      </c>
      <c r="D167" s="8">
        <v>0.61812500000000004</v>
      </c>
      <c r="E167" s="8">
        <f t="shared" si="10"/>
        <v>3.7037037037035425E-4</v>
      </c>
      <c r="F167" s="8">
        <f t="shared" si="11"/>
        <v>1.4351851851852615E-3</v>
      </c>
      <c r="I167" s="7">
        <v>19</v>
      </c>
      <c r="J167" s="8">
        <v>0.61782407407407403</v>
      </c>
      <c r="K167" s="8">
        <v>0.61799768518518516</v>
      </c>
      <c r="L167" s="8">
        <v>0.61869212962962961</v>
      </c>
      <c r="M167" s="8">
        <f t="shared" si="12"/>
        <v>1.7361111111113825E-4</v>
      </c>
      <c r="N167" s="8">
        <f t="shared" si="13"/>
        <v>6.9444444444444198E-4</v>
      </c>
    </row>
    <row r="168" spans="1:14" x14ac:dyDescent="0.45">
      <c r="A168" s="7">
        <v>20</v>
      </c>
      <c r="B168" s="8">
        <v>0.6166666666666667</v>
      </c>
      <c r="C168" s="8">
        <v>0.61812500000000004</v>
      </c>
      <c r="D168" s="8">
        <v>0.61878472222222225</v>
      </c>
      <c r="E168" s="8">
        <f t="shared" si="10"/>
        <v>1.4583333333333393E-3</v>
      </c>
      <c r="F168" s="8">
        <f t="shared" si="11"/>
        <v>6.5972222222221433E-4</v>
      </c>
      <c r="I168" s="7">
        <v>20</v>
      </c>
      <c r="J168" s="8">
        <v>0.61831018518518521</v>
      </c>
      <c r="K168" s="8">
        <v>0.61869212962962961</v>
      </c>
      <c r="L168" s="8">
        <v>0.61954861111111115</v>
      </c>
      <c r="M168" s="8">
        <f t="shared" si="12"/>
        <v>3.8194444444439313E-4</v>
      </c>
      <c r="N168" s="8">
        <f t="shared" si="13"/>
        <v>8.5648148148154135E-4</v>
      </c>
    </row>
    <row r="169" spans="1:14" x14ac:dyDescent="0.45">
      <c r="A169" s="7">
        <v>21</v>
      </c>
      <c r="B169" s="8">
        <v>0.61722222222222223</v>
      </c>
      <c r="C169" s="8">
        <v>0.61878472222222225</v>
      </c>
      <c r="D169" s="8">
        <v>0.61956018518518519</v>
      </c>
      <c r="E169" s="8">
        <f t="shared" si="10"/>
        <v>1.5625000000000222E-3</v>
      </c>
      <c r="F169" s="8">
        <f t="shared" si="11"/>
        <v>7.7546296296293615E-4</v>
      </c>
      <c r="I169" s="7">
        <v>21</v>
      </c>
      <c r="J169" s="8">
        <v>0.61934027777777778</v>
      </c>
      <c r="K169" s="8">
        <v>0.61954861111111115</v>
      </c>
      <c r="L169" s="8">
        <v>0.62017361111111113</v>
      </c>
      <c r="M169" s="8">
        <f t="shared" si="12"/>
        <v>2.083333333333659E-4</v>
      </c>
      <c r="N169" s="8">
        <f t="shared" si="13"/>
        <v>6.2499999999998668E-4</v>
      </c>
    </row>
    <row r="170" spans="1:14" x14ac:dyDescent="0.45">
      <c r="A170" s="7">
        <v>22</v>
      </c>
      <c r="B170" s="8">
        <v>0.61924768518518514</v>
      </c>
      <c r="C170" s="8">
        <v>0.61956018518518519</v>
      </c>
      <c r="D170" s="8">
        <v>0.62027777777777782</v>
      </c>
      <c r="E170" s="8">
        <f t="shared" si="10"/>
        <v>3.1250000000004885E-4</v>
      </c>
      <c r="F170" s="8">
        <f t="shared" si="11"/>
        <v>7.1759259259263075E-4</v>
      </c>
      <c r="I170" s="7">
        <v>22</v>
      </c>
      <c r="J170" s="8">
        <v>0.61935185185185182</v>
      </c>
      <c r="K170" s="8">
        <v>0.62017361111111113</v>
      </c>
      <c r="L170" s="8">
        <v>0.62085648148148154</v>
      </c>
      <c r="M170" s="8">
        <f t="shared" si="12"/>
        <v>8.217592592593137E-4</v>
      </c>
      <c r="N170" s="8">
        <f t="shared" si="13"/>
        <v>6.828703703704031E-4</v>
      </c>
    </row>
    <row r="171" spans="1:14" x14ac:dyDescent="0.45">
      <c r="A171" s="7">
        <v>23</v>
      </c>
      <c r="B171" s="8">
        <v>0.61959490740740741</v>
      </c>
      <c r="C171" s="8">
        <v>0.62027777777777782</v>
      </c>
      <c r="D171" s="8">
        <v>0.62048611111111107</v>
      </c>
      <c r="E171" s="8">
        <f t="shared" si="10"/>
        <v>6.828703703704031E-4</v>
      </c>
      <c r="F171" s="8">
        <f t="shared" si="11"/>
        <v>2.0833333333325488E-4</v>
      </c>
      <c r="I171" s="7">
        <v>23</v>
      </c>
      <c r="J171" s="8">
        <v>0.6197569444444444</v>
      </c>
      <c r="K171" s="8">
        <v>0.62085648148148154</v>
      </c>
      <c r="L171" s="8">
        <v>0.62140046296296292</v>
      </c>
      <c r="M171" s="8">
        <f t="shared" si="12"/>
        <v>1.0995370370371349E-3</v>
      </c>
      <c r="N171" s="8">
        <f t="shared" si="13"/>
        <v>5.4398148148138148E-4</v>
      </c>
    </row>
    <row r="172" spans="1:14" x14ac:dyDescent="0.45">
      <c r="A172" s="7">
        <v>24</v>
      </c>
      <c r="B172" s="8">
        <v>0.62020833333333336</v>
      </c>
      <c r="C172" s="8">
        <v>0.62048611111111107</v>
      </c>
      <c r="D172" s="8">
        <v>0.62134259259259261</v>
      </c>
      <c r="E172" s="8">
        <f t="shared" si="10"/>
        <v>2.7777777777771018E-4</v>
      </c>
      <c r="F172" s="8">
        <f t="shared" si="11"/>
        <v>8.5648148148154135E-4</v>
      </c>
      <c r="G172" t="s">
        <v>13</v>
      </c>
      <c r="I172" s="7">
        <v>24</v>
      </c>
      <c r="J172" s="8">
        <v>0.62027777777777782</v>
      </c>
      <c r="K172" s="8">
        <v>0.62140046296296292</v>
      </c>
      <c r="L172" s="8">
        <v>0.62177083333333338</v>
      </c>
      <c r="M172" s="8">
        <f t="shared" si="12"/>
        <v>1.1226851851851016E-3</v>
      </c>
      <c r="N172" s="8">
        <f t="shared" si="13"/>
        <v>3.7037037037046527E-4</v>
      </c>
    </row>
    <row r="173" spans="1:14" x14ac:dyDescent="0.45">
      <c r="A173" s="7">
        <v>25</v>
      </c>
      <c r="B173" s="8">
        <v>0.6207407407407407</v>
      </c>
      <c r="C173" s="8">
        <v>0.62134259259259261</v>
      </c>
      <c r="D173" s="8">
        <v>0.62233796296296295</v>
      </c>
      <c r="E173" s="8">
        <f t="shared" si="10"/>
        <v>6.0185185185190893E-4</v>
      </c>
      <c r="F173" s="8">
        <f t="shared" si="11"/>
        <v>9.9537037037034093E-4</v>
      </c>
      <c r="I173" s="7">
        <v>25</v>
      </c>
      <c r="J173" s="8">
        <v>0.62217592592592597</v>
      </c>
      <c r="K173" s="8">
        <v>0.62217592592592597</v>
      </c>
      <c r="L173" s="8">
        <v>0.62304398148148143</v>
      </c>
      <c r="M173" s="8">
        <f t="shared" si="12"/>
        <v>0</v>
      </c>
      <c r="N173" s="8">
        <f t="shared" si="13"/>
        <v>8.680555555554692E-4</v>
      </c>
    </row>
    <row r="174" spans="1:14" x14ac:dyDescent="0.45">
      <c r="A174" s="7">
        <v>26</v>
      </c>
      <c r="B174" s="8">
        <v>0.62186342592592592</v>
      </c>
      <c r="C174" s="8">
        <v>0.62233796296296295</v>
      </c>
      <c r="D174" s="8">
        <v>0.62318287037037035</v>
      </c>
      <c r="E174" s="8">
        <f t="shared" si="10"/>
        <v>4.745370370370372E-4</v>
      </c>
      <c r="F174" s="8">
        <f t="shared" si="11"/>
        <v>8.4490740740739145E-4</v>
      </c>
      <c r="I174" s="7">
        <v>26</v>
      </c>
      <c r="J174" s="8">
        <v>0.62238425925925922</v>
      </c>
      <c r="K174" s="8">
        <v>0.62304398148148143</v>
      </c>
      <c r="L174" s="8">
        <v>0.62373842592592588</v>
      </c>
      <c r="M174" s="8">
        <f t="shared" si="12"/>
        <v>6.5972222222221433E-4</v>
      </c>
      <c r="N174" s="8">
        <f t="shared" si="13"/>
        <v>6.9444444444444198E-4</v>
      </c>
    </row>
    <row r="175" spans="1:14" x14ac:dyDescent="0.45">
      <c r="A175" s="7">
        <v>27</v>
      </c>
      <c r="B175" s="8">
        <v>0.62224537037037042</v>
      </c>
      <c r="C175" s="8">
        <v>0.62318287037037035</v>
      </c>
      <c r="D175" s="8">
        <v>0.62409722222222219</v>
      </c>
      <c r="E175" s="8">
        <f t="shared" si="10"/>
        <v>9.374999999999245E-4</v>
      </c>
      <c r="F175" s="8">
        <f t="shared" si="11"/>
        <v>9.1435185185184675E-4</v>
      </c>
      <c r="I175" s="7">
        <v>27</v>
      </c>
      <c r="J175" s="8">
        <v>0.62255787037037036</v>
      </c>
      <c r="K175" s="8">
        <v>0.62373842592592588</v>
      </c>
      <c r="L175" s="8">
        <v>0.62474537037037037</v>
      </c>
      <c r="M175" s="8">
        <f t="shared" si="12"/>
        <v>1.1805555555555181E-3</v>
      </c>
      <c r="N175" s="8">
        <f t="shared" si="13"/>
        <v>1.0069444444444908E-3</v>
      </c>
    </row>
    <row r="176" spans="1:14" x14ac:dyDescent="0.45">
      <c r="A176" s="7">
        <v>28</v>
      </c>
      <c r="B176" s="8">
        <v>0.62197916666666664</v>
      </c>
      <c r="C176" s="8">
        <v>0.62409722222222219</v>
      </c>
      <c r="D176" s="8">
        <v>0.62472222222222218</v>
      </c>
      <c r="E176" s="8">
        <f t="shared" si="10"/>
        <v>2.1180555555555536E-3</v>
      </c>
      <c r="F176" s="8">
        <f t="shared" si="11"/>
        <v>6.2499999999998668E-4</v>
      </c>
      <c r="G176" t="s">
        <v>13</v>
      </c>
      <c r="I176" s="7">
        <v>28</v>
      </c>
      <c r="J176" s="8">
        <v>0.62271990740740746</v>
      </c>
      <c r="K176" s="8">
        <v>0.62474537037037037</v>
      </c>
      <c r="L176" s="8">
        <v>0.62539351851851854</v>
      </c>
      <c r="M176" s="8">
        <f t="shared" si="12"/>
        <v>2.0254629629629095E-3</v>
      </c>
      <c r="N176" s="8">
        <f t="shared" si="13"/>
        <v>6.4814814814817545E-4</v>
      </c>
    </row>
    <row r="177" spans="1:15" x14ac:dyDescent="0.45">
      <c r="A177" s="7">
        <v>29</v>
      </c>
      <c r="B177" s="8">
        <v>0.62354166666666666</v>
      </c>
      <c r="C177" s="8">
        <v>0.62472222222222218</v>
      </c>
      <c r="D177" s="8">
        <v>0.6252199074074074</v>
      </c>
      <c r="E177" s="8">
        <f t="shared" si="10"/>
        <v>1.1805555555555181E-3</v>
      </c>
      <c r="F177" s="8">
        <f t="shared" si="11"/>
        <v>4.9768518518522598E-4</v>
      </c>
      <c r="I177" s="7">
        <v>29</v>
      </c>
      <c r="J177" s="8">
        <v>0.62391203703703701</v>
      </c>
      <c r="K177" s="8">
        <v>0.62539351851851854</v>
      </c>
      <c r="L177" s="8">
        <v>0.62614583333333329</v>
      </c>
      <c r="M177" s="8">
        <f t="shared" si="12"/>
        <v>1.481481481481528E-3</v>
      </c>
      <c r="N177" s="8">
        <f t="shared" si="13"/>
        <v>7.5231481481474738E-4</v>
      </c>
    </row>
    <row r="178" spans="1:15" x14ac:dyDescent="0.45">
      <c r="A178" s="7">
        <v>30</v>
      </c>
      <c r="B178" s="8">
        <v>0.62436342592592597</v>
      </c>
      <c r="C178" s="8">
        <v>0.6252199074074074</v>
      </c>
      <c r="D178" s="8">
        <v>0.6256018518518518</v>
      </c>
      <c r="E178" s="8">
        <f t="shared" si="10"/>
        <v>8.5648148148143033E-4</v>
      </c>
      <c r="F178" s="8">
        <f t="shared" si="11"/>
        <v>3.8194444444439313E-4</v>
      </c>
      <c r="I178" s="7">
        <v>30</v>
      </c>
      <c r="J178" s="8">
        <v>0.62403935185185189</v>
      </c>
      <c r="K178" s="8">
        <v>0.62614583333333329</v>
      </c>
      <c r="L178" s="8">
        <v>0.6265856481481481</v>
      </c>
      <c r="M178" s="8">
        <f t="shared" si="12"/>
        <v>2.1064814814814037E-3</v>
      </c>
      <c r="N178" s="8">
        <f t="shared" si="13"/>
        <v>4.3981481481480955E-4</v>
      </c>
    </row>
    <row r="179" spans="1:15" x14ac:dyDescent="0.45">
      <c r="A179" s="7">
        <v>31</v>
      </c>
      <c r="B179" s="8">
        <v>0.62484953703703705</v>
      </c>
      <c r="C179" s="8">
        <v>0.6256018518518518</v>
      </c>
      <c r="D179" s="8">
        <v>0.62607638888888884</v>
      </c>
      <c r="E179" s="8">
        <f t="shared" si="10"/>
        <v>7.5231481481474738E-4</v>
      </c>
      <c r="F179" s="8">
        <f t="shared" si="11"/>
        <v>4.745370370370372E-4</v>
      </c>
      <c r="I179" s="7">
        <v>31</v>
      </c>
      <c r="J179" s="8">
        <v>0.62476851851851856</v>
      </c>
      <c r="K179" s="8">
        <v>0.6265856481481481</v>
      </c>
      <c r="L179" s="8">
        <v>0.6272106481481482</v>
      </c>
      <c r="M179" s="8">
        <f t="shared" si="12"/>
        <v>1.8171296296295436E-3</v>
      </c>
      <c r="N179" s="8">
        <f t="shared" si="13"/>
        <v>6.250000000000977E-4</v>
      </c>
    </row>
    <row r="180" spans="1:15" x14ac:dyDescent="0.45">
      <c r="A180" s="7">
        <v>32</v>
      </c>
      <c r="B180" s="8">
        <v>0.62535879629629632</v>
      </c>
      <c r="C180" s="8">
        <v>0.62607638888888884</v>
      </c>
      <c r="D180" s="8">
        <v>0.6270486111111111</v>
      </c>
      <c r="E180" s="8">
        <f t="shared" si="10"/>
        <v>7.1759259259251973E-4</v>
      </c>
      <c r="F180" s="8">
        <f t="shared" si="11"/>
        <v>9.7222222222226318E-4</v>
      </c>
      <c r="G180" t="s">
        <v>13</v>
      </c>
      <c r="I180" s="7">
        <v>32</v>
      </c>
      <c r="J180" s="8">
        <v>0.62649305555555557</v>
      </c>
      <c r="K180" s="8">
        <v>0.6272106481481482</v>
      </c>
      <c r="L180" s="8">
        <v>0.62768518518518523</v>
      </c>
      <c r="M180" s="8">
        <f t="shared" si="12"/>
        <v>7.1759259259263075E-4</v>
      </c>
      <c r="N180" s="8">
        <f t="shared" si="13"/>
        <v>4.745370370370372E-4</v>
      </c>
    </row>
    <row r="181" spans="1:15" x14ac:dyDescent="0.45">
      <c r="A181" s="7">
        <v>33</v>
      </c>
      <c r="B181" s="8">
        <v>0.62593750000000004</v>
      </c>
      <c r="C181" s="8">
        <v>0.6270486111111111</v>
      </c>
      <c r="D181" s="8">
        <v>0.62789351851851849</v>
      </c>
      <c r="E181" s="8">
        <f t="shared" si="10"/>
        <v>1.1111111111110628E-3</v>
      </c>
      <c r="F181" s="8">
        <f t="shared" si="11"/>
        <v>8.4490740740739145E-4</v>
      </c>
      <c r="I181" s="7">
        <v>33</v>
      </c>
      <c r="J181" s="8">
        <v>0.62710648148148151</v>
      </c>
      <c r="K181" s="8">
        <v>0.62768518518518523</v>
      </c>
      <c r="L181" s="8">
        <v>0.62820601851851854</v>
      </c>
      <c r="M181" s="8">
        <f t="shared" si="12"/>
        <v>5.7870370370372015E-4</v>
      </c>
      <c r="N181" s="8">
        <f t="shared" si="13"/>
        <v>5.2083333333330373E-4</v>
      </c>
    </row>
    <row r="182" spans="1:15" x14ac:dyDescent="0.45">
      <c r="A182" s="7">
        <v>34</v>
      </c>
      <c r="B182" s="8">
        <v>0.62648148148148153</v>
      </c>
      <c r="C182" s="8">
        <v>0.62789351851851849</v>
      </c>
      <c r="D182" s="8">
        <v>0.6284953703703704</v>
      </c>
      <c r="E182" s="8">
        <f t="shared" si="10"/>
        <v>1.4120370370369617E-3</v>
      </c>
      <c r="F182" s="8">
        <f t="shared" si="11"/>
        <v>6.0185185185190893E-4</v>
      </c>
      <c r="I182" s="7">
        <v>34</v>
      </c>
      <c r="J182" s="8">
        <v>0.62747685185185187</v>
      </c>
      <c r="K182" s="8">
        <v>0.62820601851851854</v>
      </c>
      <c r="L182" s="8">
        <v>0.62885416666666671</v>
      </c>
      <c r="M182" s="8">
        <f t="shared" si="12"/>
        <v>7.2916666666666963E-4</v>
      </c>
      <c r="N182" s="8">
        <f t="shared" si="13"/>
        <v>6.4814814814817545E-4</v>
      </c>
    </row>
    <row r="183" spans="1:15" x14ac:dyDescent="0.45">
      <c r="A183" s="7">
        <v>35</v>
      </c>
      <c r="B183" s="8">
        <v>0.62694444444444442</v>
      </c>
      <c r="C183" s="8">
        <v>0.6284953703703704</v>
      </c>
      <c r="D183" s="8">
        <v>0.62921296296296292</v>
      </c>
      <c r="E183" s="8">
        <f t="shared" si="10"/>
        <v>1.5509259259259833E-3</v>
      </c>
      <c r="F183" s="8">
        <f t="shared" si="11"/>
        <v>7.1759259259251973E-4</v>
      </c>
      <c r="I183" s="7">
        <v>35</v>
      </c>
      <c r="J183" s="8">
        <v>0.62811342592592589</v>
      </c>
      <c r="K183" s="8">
        <v>0.62885416666666671</v>
      </c>
      <c r="L183" s="8">
        <v>0.62998842592592597</v>
      </c>
      <c r="M183" s="8">
        <f t="shared" si="12"/>
        <v>7.4074074074081953E-4</v>
      </c>
      <c r="N183" s="8">
        <f t="shared" si="13"/>
        <v>1.1342592592592515E-3</v>
      </c>
      <c r="O183" t="s">
        <v>0</v>
      </c>
    </row>
    <row r="184" spans="1:15" x14ac:dyDescent="0.45">
      <c r="A184" s="7">
        <v>36</v>
      </c>
      <c r="B184" s="8">
        <v>0.63059027777777776</v>
      </c>
      <c r="C184" s="8">
        <v>0.63059027777777776</v>
      </c>
      <c r="D184" s="8">
        <v>0.63236111111111115</v>
      </c>
      <c r="E184" s="8">
        <f t="shared" si="10"/>
        <v>0</v>
      </c>
      <c r="F184" s="8">
        <f t="shared" si="11"/>
        <v>1.7708333333333881E-3</v>
      </c>
      <c r="G184" t="s">
        <v>13</v>
      </c>
      <c r="I184" s="7">
        <v>36</v>
      </c>
      <c r="J184" s="8">
        <v>0.63187499999999996</v>
      </c>
      <c r="K184" s="8">
        <v>0.63187499999999996</v>
      </c>
      <c r="L184" s="8">
        <v>0.63285879629629627</v>
      </c>
      <c r="M184" s="8">
        <f t="shared" si="12"/>
        <v>0</v>
      </c>
      <c r="N184" s="8">
        <f t="shared" si="13"/>
        <v>9.8379629629630205E-4</v>
      </c>
    </row>
    <row r="185" spans="1:15" x14ac:dyDescent="0.45">
      <c r="A185" s="7">
        <v>37</v>
      </c>
      <c r="B185" s="8">
        <v>0.63265046296296301</v>
      </c>
      <c r="C185" s="8">
        <v>0.63265046296296301</v>
      </c>
      <c r="D185" s="8">
        <v>0.63293981481481476</v>
      </c>
      <c r="E185" s="8">
        <f t="shared" si="10"/>
        <v>0</v>
      </c>
      <c r="F185" s="8">
        <f t="shared" si="11"/>
        <v>2.8935185185174905E-4</v>
      </c>
      <c r="I185" s="7">
        <v>37</v>
      </c>
      <c r="J185" s="8">
        <v>0.63275462962962958</v>
      </c>
      <c r="K185" s="8">
        <v>0.63285879629629627</v>
      </c>
      <c r="L185" s="8">
        <v>0.63369212962962962</v>
      </c>
      <c r="M185" s="8">
        <f t="shared" si="12"/>
        <v>1.0416666666668295E-4</v>
      </c>
      <c r="N185" s="8">
        <f t="shared" si="13"/>
        <v>8.3333333333335258E-4</v>
      </c>
    </row>
    <row r="186" spans="1:15" x14ac:dyDescent="0.45">
      <c r="A186" s="7">
        <v>38</v>
      </c>
      <c r="B186" s="8">
        <v>0.63335648148148149</v>
      </c>
      <c r="C186" s="8">
        <v>0.63335648148148149</v>
      </c>
      <c r="D186" s="8">
        <v>0.63393518518518521</v>
      </c>
      <c r="E186" s="8">
        <f t="shared" si="10"/>
        <v>0</v>
      </c>
      <c r="F186" s="8">
        <f t="shared" si="11"/>
        <v>5.7870370370372015E-4</v>
      </c>
      <c r="I186" s="7">
        <v>38</v>
      </c>
      <c r="J186" s="8">
        <v>0.63356481481481486</v>
      </c>
      <c r="K186" s="8">
        <v>0.63369212962962962</v>
      </c>
      <c r="L186" s="8">
        <v>0.63535879629629632</v>
      </c>
      <c r="M186" s="8">
        <f t="shared" si="12"/>
        <v>1.273148148147607E-4</v>
      </c>
      <c r="N186" s="8">
        <f t="shared" si="13"/>
        <v>1.6666666666667052E-3</v>
      </c>
      <c r="O186" t="s">
        <v>0</v>
      </c>
    </row>
    <row r="187" spans="1:15" x14ac:dyDescent="0.45">
      <c r="A187" s="7">
        <v>39</v>
      </c>
      <c r="B187" s="8">
        <v>0.63388888888888884</v>
      </c>
      <c r="C187" s="8">
        <v>0.63393518518518521</v>
      </c>
      <c r="D187" s="8">
        <v>0.63472222222222219</v>
      </c>
      <c r="E187" s="8">
        <f t="shared" si="10"/>
        <v>4.6296296296377548E-5</v>
      </c>
      <c r="F187" s="8">
        <f t="shared" si="11"/>
        <v>7.8703703703697503E-4</v>
      </c>
      <c r="I187" s="7">
        <v>39</v>
      </c>
      <c r="J187" s="8">
        <v>0.63560185185185181</v>
      </c>
      <c r="K187" s="8">
        <v>0.63560185185185181</v>
      </c>
      <c r="L187" s="8">
        <v>0.63626157407407402</v>
      </c>
      <c r="M187" s="8">
        <f t="shared" si="12"/>
        <v>0</v>
      </c>
      <c r="N187" s="8">
        <f t="shared" si="13"/>
        <v>6.5972222222221433E-4</v>
      </c>
    </row>
    <row r="188" spans="1:15" x14ac:dyDescent="0.45">
      <c r="A188" s="7">
        <v>40</v>
      </c>
      <c r="B188" s="8">
        <v>0.63476851851851857</v>
      </c>
      <c r="C188" s="8">
        <v>0.63476851851851857</v>
      </c>
      <c r="D188" s="8">
        <v>0.63569444444444445</v>
      </c>
      <c r="E188" s="8">
        <f t="shared" si="10"/>
        <v>0</v>
      </c>
      <c r="F188" s="8">
        <f t="shared" si="11"/>
        <v>9.2592592592588563E-4</v>
      </c>
      <c r="I188" s="7">
        <v>40</v>
      </c>
      <c r="J188" s="8">
        <v>0.63702546296296292</v>
      </c>
      <c r="K188" s="8">
        <v>0.63702546296296292</v>
      </c>
      <c r="L188" s="8">
        <v>0.63785879629629627</v>
      </c>
      <c r="M188" s="8">
        <f t="shared" si="12"/>
        <v>0</v>
      </c>
      <c r="N188" s="8">
        <f t="shared" si="13"/>
        <v>8.3333333333335258E-4</v>
      </c>
    </row>
    <row r="189" spans="1:15" x14ac:dyDescent="0.45">
      <c r="A189" s="7">
        <v>41</v>
      </c>
      <c r="B189" s="8">
        <v>0.6350810185185185</v>
      </c>
      <c r="C189" s="8">
        <v>0.63569444444444445</v>
      </c>
      <c r="D189" s="8">
        <v>0.63612268518518522</v>
      </c>
      <c r="E189" s="8">
        <f t="shared" si="10"/>
        <v>6.134259259259478E-4</v>
      </c>
      <c r="F189" s="8">
        <f t="shared" si="11"/>
        <v>4.2824074074077068E-4</v>
      </c>
      <c r="I189" s="7">
        <v>41</v>
      </c>
      <c r="J189" s="8">
        <v>0.63763888888888887</v>
      </c>
      <c r="K189" s="8">
        <v>0.63785879629629627</v>
      </c>
      <c r="L189" s="8">
        <v>0.6384143518518518</v>
      </c>
      <c r="M189" s="8">
        <f t="shared" si="12"/>
        <v>2.1990740740740478E-4</v>
      </c>
      <c r="N189" s="8">
        <f t="shared" si="13"/>
        <v>5.5555555555553138E-4</v>
      </c>
    </row>
    <row r="190" spans="1:15" x14ac:dyDescent="0.45">
      <c r="A190" s="7">
        <v>42</v>
      </c>
      <c r="B190" s="8">
        <v>0.63623842592592594</v>
      </c>
      <c r="C190" s="8">
        <v>0.63623842592592594</v>
      </c>
      <c r="D190" s="8">
        <v>0.63685185185185189</v>
      </c>
      <c r="E190" s="8">
        <f t="shared" si="10"/>
        <v>0</v>
      </c>
      <c r="F190" s="8">
        <f t="shared" si="11"/>
        <v>6.134259259259478E-4</v>
      </c>
      <c r="I190" s="7">
        <v>42</v>
      </c>
      <c r="J190" s="8">
        <v>0.63795138888888892</v>
      </c>
      <c r="K190" s="8">
        <v>0.6384143518518518</v>
      </c>
      <c r="L190" s="8">
        <v>0.63920138888888889</v>
      </c>
      <c r="M190" s="8">
        <f t="shared" si="12"/>
        <v>4.629629629628873E-4</v>
      </c>
      <c r="N190" s="8">
        <f t="shared" si="13"/>
        <v>7.8703703703708605E-4</v>
      </c>
    </row>
    <row r="191" spans="1:15" x14ac:dyDescent="0.45">
      <c r="A191" s="7">
        <v>43</v>
      </c>
      <c r="B191" s="8">
        <v>0.63678240740740744</v>
      </c>
      <c r="C191" s="8">
        <v>0.63685185185185189</v>
      </c>
      <c r="D191" s="8">
        <v>0.63861111111111113</v>
      </c>
      <c r="E191" s="8">
        <f t="shared" si="10"/>
        <v>6.94444444444553E-5</v>
      </c>
      <c r="F191" s="8">
        <f t="shared" si="11"/>
        <v>1.7592592592592382E-3</v>
      </c>
      <c r="I191" s="7">
        <v>43</v>
      </c>
      <c r="J191" s="8">
        <v>0.63952546296296298</v>
      </c>
      <c r="K191" s="8">
        <v>0.63952546296296298</v>
      </c>
      <c r="L191" s="8">
        <v>0.64017361111111115</v>
      </c>
      <c r="M191" s="8">
        <f t="shared" si="12"/>
        <v>0</v>
      </c>
      <c r="N191" s="8">
        <f t="shared" si="13"/>
        <v>6.4814814814817545E-4</v>
      </c>
    </row>
    <row r="192" spans="1:15" x14ac:dyDescent="0.45">
      <c r="A192" s="7">
        <v>44</v>
      </c>
      <c r="B192" s="8">
        <v>0.63949074074074075</v>
      </c>
      <c r="C192" s="8">
        <v>0.63949074074074075</v>
      </c>
      <c r="D192" s="8">
        <v>0.64035879629629633</v>
      </c>
      <c r="E192" s="8">
        <f t="shared" si="10"/>
        <v>0</v>
      </c>
      <c r="F192" s="8">
        <f t="shared" si="11"/>
        <v>8.6805555555558023E-4</v>
      </c>
      <c r="G192" t="s">
        <v>13</v>
      </c>
      <c r="I192" s="7">
        <v>44</v>
      </c>
      <c r="J192" s="8">
        <v>0.63982638888888888</v>
      </c>
      <c r="K192" s="8">
        <v>0.64017361111111115</v>
      </c>
      <c r="L192" s="8">
        <v>0.64121527777777776</v>
      </c>
      <c r="M192" s="8">
        <f t="shared" si="12"/>
        <v>3.472222222222765E-4</v>
      </c>
      <c r="N192" s="8">
        <f t="shared" si="13"/>
        <v>1.0416666666666075E-3</v>
      </c>
    </row>
    <row r="193" spans="1:15" x14ac:dyDescent="0.45">
      <c r="A193" s="7">
        <v>45</v>
      </c>
      <c r="B193" s="8">
        <v>0.63997685185185182</v>
      </c>
      <c r="C193" s="8">
        <v>0.64035879629629633</v>
      </c>
      <c r="D193" s="8">
        <v>0.64090277777777782</v>
      </c>
      <c r="E193" s="8">
        <f t="shared" si="10"/>
        <v>3.8194444444450415E-4</v>
      </c>
      <c r="F193" s="8">
        <f t="shared" si="11"/>
        <v>5.439814814814925E-4</v>
      </c>
      <c r="I193" s="7">
        <v>45</v>
      </c>
      <c r="J193" s="8">
        <v>0.6413078703703704</v>
      </c>
      <c r="K193" s="8">
        <v>0.6413078703703704</v>
      </c>
      <c r="L193" s="8">
        <v>0.64232638888888893</v>
      </c>
      <c r="M193" s="8">
        <f t="shared" si="12"/>
        <v>0</v>
      </c>
      <c r="N193" s="8">
        <f t="shared" si="13"/>
        <v>1.0185185185185297E-3</v>
      </c>
    </row>
    <row r="194" spans="1:15" x14ac:dyDescent="0.45">
      <c r="A194" s="7">
        <v>46</v>
      </c>
      <c r="B194" s="8">
        <v>0.63998842592592597</v>
      </c>
      <c r="C194" s="8">
        <v>0.64090277777777782</v>
      </c>
      <c r="D194" s="8">
        <v>0.64171296296296299</v>
      </c>
      <c r="E194" s="8">
        <f t="shared" si="10"/>
        <v>9.1435185185184675E-4</v>
      </c>
      <c r="F194" s="8">
        <f t="shared" si="11"/>
        <v>8.101851851851638E-4</v>
      </c>
      <c r="I194" s="7">
        <v>46</v>
      </c>
      <c r="J194" s="8">
        <v>0.64240740740740743</v>
      </c>
      <c r="K194" s="8">
        <v>0.64240740740740743</v>
      </c>
      <c r="L194" s="8">
        <v>0.64331018518518523</v>
      </c>
      <c r="M194" s="8">
        <f t="shared" si="12"/>
        <v>0</v>
      </c>
      <c r="N194" s="8">
        <f t="shared" si="13"/>
        <v>9.0277777777780788E-4</v>
      </c>
    </row>
    <row r="195" spans="1:15" x14ac:dyDescent="0.45">
      <c r="A195" s="7">
        <v>47</v>
      </c>
      <c r="B195" s="8">
        <v>0.640625</v>
      </c>
      <c r="C195" s="8">
        <v>0.64171296296296299</v>
      </c>
      <c r="D195" s="8">
        <v>0.64229166666666671</v>
      </c>
      <c r="E195" s="8">
        <f t="shared" si="10"/>
        <v>1.087962962962985E-3</v>
      </c>
      <c r="F195" s="8">
        <f t="shared" si="11"/>
        <v>5.7870370370372015E-4</v>
      </c>
      <c r="I195" s="7">
        <v>47</v>
      </c>
      <c r="J195" s="8">
        <v>0.64355324074074072</v>
      </c>
      <c r="K195" s="8">
        <v>0.64355324074074072</v>
      </c>
      <c r="L195" s="8">
        <v>0.64443287037037034</v>
      </c>
      <c r="M195" s="8">
        <f t="shared" si="12"/>
        <v>0</v>
      </c>
      <c r="N195" s="8">
        <f t="shared" si="13"/>
        <v>8.796296296296191E-4</v>
      </c>
    </row>
    <row r="196" spans="1:15" x14ac:dyDescent="0.45">
      <c r="A196" s="7">
        <v>48</v>
      </c>
      <c r="B196" s="8">
        <v>0.64211805555555557</v>
      </c>
      <c r="C196" s="8">
        <v>0.64229166666666671</v>
      </c>
      <c r="D196" s="8">
        <v>0.64281250000000001</v>
      </c>
      <c r="E196" s="8">
        <f t="shared" si="10"/>
        <v>1.7361111111113825E-4</v>
      </c>
      <c r="F196" s="8">
        <f t="shared" si="11"/>
        <v>5.2083333333330373E-4</v>
      </c>
      <c r="I196" s="7">
        <v>48</v>
      </c>
      <c r="J196" s="8">
        <v>0.64421296296296293</v>
      </c>
      <c r="K196" s="8">
        <v>0.64443287037037034</v>
      </c>
      <c r="L196" s="8">
        <v>0.6451041666666667</v>
      </c>
      <c r="M196" s="8">
        <f t="shared" si="12"/>
        <v>2.1990740740740478E-4</v>
      </c>
      <c r="N196" s="8">
        <f t="shared" si="13"/>
        <v>6.7129629629636423E-4</v>
      </c>
    </row>
    <row r="197" spans="1:15" x14ac:dyDescent="0.45">
      <c r="A197" s="7">
        <v>49</v>
      </c>
      <c r="B197" s="8">
        <v>0.64245370370370369</v>
      </c>
      <c r="C197" s="8">
        <v>0.64281250000000001</v>
      </c>
      <c r="D197" s="8">
        <v>0.64307870370370368</v>
      </c>
      <c r="E197" s="8">
        <f t="shared" si="10"/>
        <v>3.5879629629631538E-4</v>
      </c>
      <c r="F197" s="8">
        <f t="shared" si="11"/>
        <v>2.662037037036713E-4</v>
      </c>
      <c r="I197" s="7">
        <v>49</v>
      </c>
      <c r="J197" s="8">
        <v>0.64538194444444441</v>
      </c>
      <c r="K197" s="8">
        <v>0.64538194444444441</v>
      </c>
      <c r="L197" s="8">
        <v>0.64649305555555558</v>
      </c>
      <c r="M197" s="8">
        <f t="shared" si="12"/>
        <v>0</v>
      </c>
      <c r="N197" s="8">
        <f t="shared" si="13"/>
        <v>1.1111111111111738E-3</v>
      </c>
      <c r="O197" t="s">
        <v>0</v>
      </c>
    </row>
    <row r="198" spans="1:15" x14ac:dyDescent="0.45">
      <c r="A198" s="7">
        <v>50</v>
      </c>
      <c r="B198" s="8">
        <v>0.64317129629629632</v>
      </c>
      <c r="C198" s="8">
        <v>0.64317129629629632</v>
      </c>
      <c r="D198" s="8">
        <v>0.64415509259259263</v>
      </c>
      <c r="E198" s="8">
        <f t="shared" si="10"/>
        <v>0</v>
      </c>
      <c r="F198" s="8">
        <f t="shared" si="11"/>
        <v>9.8379629629630205E-4</v>
      </c>
      <c r="I198" s="7">
        <v>50</v>
      </c>
      <c r="J198" s="8">
        <v>0.64557870370370374</v>
      </c>
      <c r="K198" s="8">
        <v>0.64649305555555558</v>
      </c>
      <c r="L198" s="8">
        <v>0.64725694444444448</v>
      </c>
      <c r="M198" s="8">
        <f t="shared" si="12"/>
        <v>9.1435185185184675E-4</v>
      </c>
      <c r="N198" s="8">
        <f t="shared" si="13"/>
        <v>7.6388888888889728E-4</v>
      </c>
    </row>
    <row r="199" spans="1:15" x14ac:dyDescent="0.45">
      <c r="A199" s="7">
        <v>51</v>
      </c>
      <c r="B199" s="8">
        <v>0.64318287037037036</v>
      </c>
      <c r="C199" s="8">
        <v>0.64415509259259263</v>
      </c>
      <c r="D199" s="8">
        <v>0.64446759259259256</v>
      </c>
      <c r="E199" s="8">
        <f t="shared" si="10"/>
        <v>9.7222222222226318E-4</v>
      </c>
      <c r="F199" s="8">
        <f t="shared" si="11"/>
        <v>3.1249999999993783E-4</v>
      </c>
      <c r="I199" s="7">
        <v>51</v>
      </c>
      <c r="J199" s="8">
        <v>0.64577546296296295</v>
      </c>
      <c r="K199" s="8">
        <v>0.64725694444444448</v>
      </c>
      <c r="L199" s="8">
        <v>0.64777777777777779</v>
      </c>
      <c r="M199" s="8">
        <f t="shared" si="12"/>
        <v>1.481481481481528E-3</v>
      </c>
      <c r="N199" s="8">
        <f t="shared" si="13"/>
        <v>5.2083333333330373E-4</v>
      </c>
    </row>
    <row r="200" spans="1:15" x14ac:dyDescent="0.45">
      <c r="A200" s="7">
        <v>52</v>
      </c>
      <c r="B200" s="8">
        <v>0.64406249999999998</v>
      </c>
      <c r="C200" s="8">
        <v>0.64446759259259256</v>
      </c>
      <c r="D200" s="8">
        <v>0.64482638888888888</v>
      </c>
      <c r="E200" s="8">
        <f t="shared" si="10"/>
        <v>4.050925925925819E-4</v>
      </c>
      <c r="F200" s="8">
        <f t="shared" si="11"/>
        <v>3.5879629629631538E-4</v>
      </c>
      <c r="I200" s="7">
        <v>52</v>
      </c>
      <c r="J200" s="8">
        <v>0.64703703703703708</v>
      </c>
      <c r="K200" s="8">
        <v>0.64777777777777779</v>
      </c>
      <c r="L200" s="8">
        <v>0.64850694444444446</v>
      </c>
      <c r="M200" s="8">
        <f t="shared" si="12"/>
        <v>7.407407407407085E-4</v>
      </c>
      <c r="N200" s="8">
        <f t="shared" si="13"/>
        <v>7.2916666666666963E-4</v>
      </c>
    </row>
    <row r="201" spans="1:15" x14ac:dyDescent="0.45">
      <c r="A201" s="7">
        <v>53</v>
      </c>
      <c r="B201" s="8">
        <v>0.64525462962962965</v>
      </c>
      <c r="C201" s="8">
        <v>0.64525462962962965</v>
      </c>
      <c r="D201" s="8">
        <v>0.64584490740740741</v>
      </c>
      <c r="E201" s="8">
        <f t="shared" si="10"/>
        <v>0</v>
      </c>
      <c r="F201" s="8">
        <f t="shared" si="11"/>
        <v>5.9027777777775903E-4</v>
      </c>
      <c r="I201" s="7">
        <v>53</v>
      </c>
      <c r="J201" s="8">
        <v>0.64765046296296291</v>
      </c>
      <c r="K201" s="8">
        <v>0.64850694444444446</v>
      </c>
      <c r="L201" s="8">
        <v>0.64937500000000004</v>
      </c>
      <c r="M201" s="8">
        <f t="shared" si="12"/>
        <v>8.5648148148154135E-4</v>
      </c>
      <c r="N201" s="8">
        <f t="shared" si="13"/>
        <v>8.6805555555558023E-4</v>
      </c>
    </row>
    <row r="202" spans="1:15" x14ac:dyDescent="0.45">
      <c r="A202" s="7">
        <v>54</v>
      </c>
      <c r="B202" s="8">
        <v>0.64548611111111109</v>
      </c>
      <c r="C202" s="8">
        <v>0.64585648148148145</v>
      </c>
      <c r="D202" s="8">
        <v>0.64606481481481481</v>
      </c>
      <c r="E202" s="8">
        <f t="shared" si="10"/>
        <v>3.7037037037035425E-4</v>
      </c>
      <c r="F202" s="8">
        <f t="shared" si="11"/>
        <v>2.083333333333659E-4</v>
      </c>
      <c r="I202" s="7">
        <v>54</v>
      </c>
      <c r="J202" s="8">
        <v>0.64792824074074074</v>
      </c>
      <c r="K202" s="8">
        <v>0.64937500000000004</v>
      </c>
      <c r="L202" s="8">
        <v>0.65001157407407406</v>
      </c>
      <c r="M202" s="8">
        <f t="shared" si="12"/>
        <v>1.4467592592593004E-3</v>
      </c>
      <c r="N202" s="8">
        <f t="shared" si="13"/>
        <v>6.3657407407402555E-4</v>
      </c>
    </row>
    <row r="203" spans="1:15" x14ac:dyDescent="0.45">
      <c r="A203" s="7">
        <v>55</v>
      </c>
      <c r="B203" s="8">
        <v>0.64564814814814819</v>
      </c>
      <c r="C203" s="8">
        <v>0.64606481481481481</v>
      </c>
      <c r="D203" s="8">
        <v>0.64666666666666661</v>
      </c>
      <c r="E203" s="8">
        <f t="shared" si="10"/>
        <v>4.1666666666662078E-4</v>
      </c>
      <c r="F203" s="8">
        <f t="shared" si="11"/>
        <v>6.018518518517979E-4</v>
      </c>
      <c r="I203" s="7">
        <v>55</v>
      </c>
      <c r="J203" s="8">
        <v>0.64864583333333337</v>
      </c>
      <c r="K203" s="8">
        <v>0.65001157407407406</v>
      </c>
      <c r="L203" s="8">
        <v>0.65115740740740746</v>
      </c>
      <c r="M203" s="8">
        <f t="shared" si="12"/>
        <v>1.3657407407406952E-3</v>
      </c>
      <c r="N203" s="8">
        <f t="shared" si="13"/>
        <v>1.1458333333334014E-3</v>
      </c>
    </row>
    <row r="204" spans="1:15" x14ac:dyDescent="0.45">
      <c r="A204" s="7">
        <v>56</v>
      </c>
      <c r="B204" s="8">
        <v>0.64579861111111114</v>
      </c>
      <c r="C204" s="8">
        <v>0.64666666666666661</v>
      </c>
      <c r="D204" s="8">
        <v>0.64758101851851857</v>
      </c>
      <c r="E204" s="8">
        <f t="shared" si="10"/>
        <v>8.680555555554692E-4</v>
      </c>
      <c r="F204" s="8">
        <f t="shared" si="11"/>
        <v>9.1435185185195778E-4</v>
      </c>
      <c r="I204" s="7">
        <v>56</v>
      </c>
      <c r="J204" s="8">
        <v>0.6495023148148148</v>
      </c>
      <c r="K204" s="8">
        <v>0.65115740740740746</v>
      </c>
      <c r="L204" s="8">
        <v>0.65181712962962968</v>
      </c>
      <c r="M204" s="8">
        <f t="shared" si="12"/>
        <v>1.6550925925926663E-3</v>
      </c>
      <c r="N204" s="8">
        <f t="shared" si="13"/>
        <v>6.5972222222221433E-4</v>
      </c>
    </row>
    <row r="205" spans="1:15" x14ac:dyDescent="0.45">
      <c r="A205" s="7">
        <v>57</v>
      </c>
      <c r="B205" s="8">
        <v>0.64675925925925926</v>
      </c>
      <c r="C205" s="8">
        <v>0.64758101851851857</v>
      </c>
      <c r="D205" s="8">
        <v>0.64875000000000005</v>
      </c>
      <c r="E205" s="8">
        <f t="shared" si="10"/>
        <v>8.217592592593137E-4</v>
      </c>
      <c r="F205" s="8">
        <f t="shared" si="11"/>
        <v>1.1689814814814792E-3</v>
      </c>
      <c r="G205" t="s">
        <v>13</v>
      </c>
      <c r="I205" s="7">
        <v>57</v>
      </c>
      <c r="J205" s="8">
        <v>0.6501851851851852</v>
      </c>
      <c r="K205" s="8">
        <v>0.65181712962962968</v>
      </c>
      <c r="L205" s="8">
        <v>0.65248842592592593</v>
      </c>
      <c r="M205" s="8">
        <f t="shared" si="12"/>
        <v>1.6319444444444775E-3</v>
      </c>
      <c r="N205" s="8">
        <f t="shared" si="13"/>
        <v>6.712962962962532E-4</v>
      </c>
    </row>
    <row r="206" spans="1:15" x14ac:dyDescent="0.45">
      <c r="A206" s="7">
        <v>58</v>
      </c>
      <c r="B206" s="8">
        <v>0.64728009259259256</v>
      </c>
      <c r="C206" s="8">
        <v>0.64875000000000005</v>
      </c>
      <c r="D206" s="8">
        <v>0.65005787037037033</v>
      </c>
      <c r="E206" s="8">
        <f t="shared" si="10"/>
        <v>1.4699074074074892E-3</v>
      </c>
      <c r="F206" s="8">
        <f t="shared" si="11"/>
        <v>1.3078703703702788E-3</v>
      </c>
      <c r="G206" t="s">
        <v>13</v>
      </c>
      <c r="I206" s="7">
        <v>58</v>
      </c>
      <c r="J206" s="8">
        <v>0.65097222222222217</v>
      </c>
      <c r="K206" s="8">
        <v>0.65248842592592593</v>
      </c>
      <c r="L206" s="8">
        <v>0.65322916666666664</v>
      </c>
      <c r="M206" s="8">
        <f t="shared" si="12"/>
        <v>1.5162037037037557E-3</v>
      </c>
      <c r="N206" s="8">
        <f t="shared" si="13"/>
        <v>7.407407407407085E-4</v>
      </c>
    </row>
    <row r="207" spans="1:15" x14ac:dyDescent="0.45">
      <c r="A207" s="7">
        <v>59</v>
      </c>
      <c r="B207" s="8">
        <v>0.64884259259259258</v>
      </c>
      <c r="C207" s="8">
        <v>0.65005787037037033</v>
      </c>
      <c r="D207" s="8">
        <v>0.6548842592592593</v>
      </c>
      <c r="E207" s="8">
        <f t="shared" si="10"/>
        <v>1.2152777777777457E-3</v>
      </c>
      <c r="F207" s="8">
        <f t="shared" si="11"/>
        <v>4.8263888888889772E-3</v>
      </c>
      <c r="I207" s="7">
        <v>59</v>
      </c>
      <c r="J207" s="8">
        <v>0.65162037037037035</v>
      </c>
      <c r="K207" s="8">
        <v>0.65322916666666664</v>
      </c>
      <c r="L207" s="8">
        <v>0.65410879629629626</v>
      </c>
      <c r="M207" s="8">
        <f t="shared" si="12"/>
        <v>1.6087962962962887E-3</v>
      </c>
      <c r="N207" s="8">
        <f t="shared" si="13"/>
        <v>8.796296296296191E-4</v>
      </c>
    </row>
    <row r="208" spans="1:15" x14ac:dyDescent="0.45">
      <c r="A208" s="7">
        <v>60</v>
      </c>
      <c r="B208" s="8">
        <v>0.65001157407407406</v>
      </c>
      <c r="C208" s="8">
        <v>0.6548842592592593</v>
      </c>
      <c r="D208" s="8">
        <v>0.65571759259259255</v>
      </c>
      <c r="E208" s="8">
        <f t="shared" si="10"/>
        <v>4.8726851851852437E-3</v>
      </c>
      <c r="F208" s="8">
        <f t="shared" si="11"/>
        <v>8.3333333333324155E-4</v>
      </c>
      <c r="I208" s="7">
        <v>60</v>
      </c>
      <c r="J208" s="8">
        <v>0.6521527777777778</v>
      </c>
      <c r="K208" s="8">
        <v>0.65410879629629626</v>
      </c>
      <c r="L208" s="8">
        <v>0.65475694444444443</v>
      </c>
      <c r="M208" s="8">
        <f t="shared" si="12"/>
        <v>1.9560185185184542E-3</v>
      </c>
      <c r="N208" s="8">
        <f t="shared" si="13"/>
        <v>6.4814814814817545E-4</v>
      </c>
    </row>
    <row r="209" spans="1:15" x14ac:dyDescent="0.45">
      <c r="A209" s="7">
        <v>61</v>
      </c>
      <c r="B209" s="8">
        <v>0.65037037037037038</v>
      </c>
      <c r="C209" s="8">
        <v>0.65570601851851851</v>
      </c>
      <c r="D209" s="8">
        <v>0.65688657407407403</v>
      </c>
      <c r="E209" s="8">
        <f t="shared" si="10"/>
        <v>5.335648148148131E-3</v>
      </c>
      <c r="F209" s="8">
        <f t="shared" si="11"/>
        <v>1.1805555555555181E-3</v>
      </c>
      <c r="I209" s="7">
        <v>61</v>
      </c>
      <c r="J209" s="8">
        <v>0.65259259259259261</v>
      </c>
      <c r="K209" s="8">
        <v>0.65475694444444443</v>
      </c>
      <c r="L209" s="8">
        <v>0.65546296296296291</v>
      </c>
      <c r="M209" s="8">
        <f t="shared" si="12"/>
        <v>2.1643518518518201E-3</v>
      </c>
      <c r="N209" s="8">
        <f t="shared" si="13"/>
        <v>7.0601851851848085E-4</v>
      </c>
    </row>
    <row r="210" spans="1:15" x14ac:dyDescent="0.45">
      <c r="A210" s="7">
        <v>62</v>
      </c>
      <c r="B210" s="8">
        <v>0.65559027777777779</v>
      </c>
      <c r="C210" s="8">
        <v>0.65688657407407403</v>
      </c>
      <c r="D210" s="8">
        <v>0.65739583333333329</v>
      </c>
      <c r="E210" s="8">
        <f t="shared" si="10"/>
        <v>1.2962962962962399E-3</v>
      </c>
      <c r="F210" s="8">
        <f t="shared" si="11"/>
        <v>5.0925925925926485E-4</v>
      </c>
      <c r="I210" s="7">
        <v>62</v>
      </c>
      <c r="J210" s="8">
        <v>0.65302083333333338</v>
      </c>
      <c r="K210" s="8">
        <v>0.65546296296296291</v>
      </c>
      <c r="L210" s="8">
        <v>0.65579861111111115</v>
      </c>
      <c r="M210" s="8">
        <f t="shared" si="12"/>
        <v>2.4421296296295303E-3</v>
      </c>
      <c r="N210" s="8">
        <f t="shared" si="13"/>
        <v>3.3564814814823762E-4</v>
      </c>
    </row>
    <row r="211" spans="1:15" x14ac:dyDescent="0.45">
      <c r="A211" s="7">
        <v>63</v>
      </c>
      <c r="B211" s="8">
        <v>0.65776620370370376</v>
      </c>
      <c r="C211" s="8">
        <v>0.65776620370370376</v>
      </c>
      <c r="D211" s="8">
        <v>0.65827546296296291</v>
      </c>
      <c r="E211" s="8">
        <f t="shared" si="10"/>
        <v>0</v>
      </c>
      <c r="F211" s="8">
        <f t="shared" si="11"/>
        <v>5.0925925925915383E-4</v>
      </c>
      <c r="I211" s="7">
        <v>63</v>
      </c>
      <c r="J211" s="8">
        <v>0.6532175925925926</v>
      </c>
      <c r="K211" s="8">
        <v>0.65579861111111115</v>
      </c>
      <c r="L211" s="8">
        <v>0.65643518518518518</v>
      </c>
      <c r="M211" s="8">
        <f t="shared" si="12"/>
        <v>2.5810185185185519E-3</v>
      </c>
      <c r="N211" s="8">
        <f t="shared" si="13"/>
        <v>6.3657407407402555E-4</v>
      </c>
    </row>
    <row r="212" spans="1:15" x14ac:dyDescent="0.45">
      <c r="A212" s="7">
        <v>64</v>
      </c>
      <c r="B212" s="8">
        <v>0.65807870370370369</v>
      </c>
      <c r="C212" s="8">
        <v>0.65827546296296291</v>
      </c>
      <c r="D212" s="8">
        <v>0.65895833333333331</v>
      </c>
      <c r="E212" s="8">
        <f t="shared" si="10"/>
        <v>1.96759259259216E-4</v>
      </c>
      <c r="F212" s="8">
        <f t="shared" si="11"/>
        <v>6.828703703704031E-4</v>
      </c>
      <c r="I212" s="7">
        <v>64</v>
      </c>
      <c r="J212" s="8">
        <v>0.65476851851851847</v>
      </c>
      <c r="K212" s="8">
        <v>0.65643518518518518</v>
      </c>
      <c r="L212" s="8">
        <v>0.65692129629629625</v>
      </c>
      <c r="M212" s="8">
        <f t="shared" si="12"/>
        <v>1.6666666666667052E-3</v>
      </c>
      <c r="N212" s="8">
        <f t="shared" si="13"/>
        <v>4.8611111111107608E-4</v>
      </c>
    </row>
    <row r="213" spans="1:15" x14ac:dyDescent="0.45">
      <c r="A213" s="7">
        <v>65</v>
      </c>
      <c r="B213" s="8">
        <v>0.65841435185185182</v>
      </c>
      <c r="C213" s="8">
        <v>0.65895833333333331</v>
      </c>
      <c r="D213" s="8">
        <v>0.65969907407407402</v>
      </c>
      <c r="E213" s="8">
        <f t="shared" si="10"/>
        <v>5.439814814814925E-4</v>
      </c>
      <c r="F213" s="8">
        <f t="shared" si="11"/>
        <v>7.407407407407085E-4</v>
      </c>
      <c r="I213" s="7">
        <v>65</v>
      </c>
      <c r="J213" s="8">
        <v>0.65511574074074075</v>
      </c>
      <c r="K213" s="8">
        <v>0.65692129629629625</v>
      </c>
      <c r="L213" s="8">
        <v>0.65709490740740739</v>
      </c>
      <c r="M213" s="8">
        <f t="shared" si="12"/>
        <v>1.8055555555555047E-3</v>
      </c>
      <c r="N213" s="8">
        <f t="shared" si="13"/>
        <v>1.7361111111113825E-4</v>
      </c>
    </row>
    <row r="214" spans="1:15" x14ac:dyDescent="0.45">
      <c r="A214" s="7">
        <v>66</v>
      </c>
      <c r="B214" s="8">
        <v>0.65885416666666663</v>
      </c>
      <c r="C214" s="8">
        <v>0.65969907407407402</v>
      </c>
      <c r="D214" s="8">
        <v>0.66062500000000002</v>
      </c>
      <c r="E214" s="8">
        <f t="shared" ref="E214:E222" si="14">$C214-$B214</f>
        <v>8.4490740740739145E-4</v>
      </c>
      <c r="F214" s="8">
        <f t="shared" ref="F214:F222" si="15">$D214-$C214</f>
        <v>9.2592592592599665E-4</v>
      </c>
      <c r="I214" s="7">
        <v>66</v>
      </c>
      <c r="J214" s="8">
        <v>0.65519675925925924</v>
      </c>
      <c r="K214" s="8">
        <v>0.65709490740740739</v>
      </c>
      <c r="L214" s="8">
        <v>0.65789351851851852</v>
      </c>
      <c r="M214" s="8">
        <f t="shared" ref="M214:M223" si="16">$K214-$J214</f>
        <v>1.8981481481481488E-3</v>
      </c>
      <c r="N214" s="8">
        <f t="shared" ref="N214:N223" si="17">$L214-$K214</f>
        <v>7.9861111111112493E-4</v>
      </c>
    </row>
    <row r="215" spans="1:15" x14ac:dyDescent="0.45">
      <c r="A215" s="7">
        <v>67</v>
      </c>
      <c r="B215" s="8">
        <v>0.66002314814814811</v>
      </c>
      <c r="C215" s="8">
        <v>0.66062500000000002</v>
      </c>
      <c r="D215" s="8">
        <v>0.66097222222222218</v>
      </c>
      <c r="E215" s="8">
        <f t="shared" si="14"/>
        <v>6.0185185185190893E-4</v>
      </c>
      <c r="F215" s="8">
        <f t="shared" si="15"/>
        <v>3.4722222222216548E-4</v>
      </c>
      <c r="I215" s="7">
        <v>67</v>
      </c>
      <c r="J215" s="8">
        <v>0.65815972222222219</v>
      </c>
      <c r="K215" s="8">
        <v>0.65815972222222219</v>
      </c>
      <c r="L215" s="8">
        <v>0.65892361111111108</v>
      </c>
      <c r="M215" s="8">
        <f t="shared" si="16"/>
        <v>0</v>
      </c>
      <c r="N215" s="8">
        <f t="shared" si="17"/>
        <v>7.6388888888889728E-4</v>
      </c>
    </row>
    <row r="216" spans="1:15" x14ac:dyDescent="0.45">
      <c r="A216" s="7">
        <v>68</v>
      </c>
      <c r="B216" s="8">
        <v>0.66207175925925921</v>
      </c>
      <c r="C216" s="8">
        <v>0.66207175925925921</v>
      </c>
      <c r="D216" s="8">
        <v>0.66249999999999998</v>
      </c>
      <c r="E216" s="8">
        <f t="shared" si="14"/>
        <v>0</v>
      </c>
      <c r="F216" s="8">
        <f t="shared" si="15"/>
        <v>4.2824074074077068E-4</v>
      </c>
      <c r="I216" s="7">
        <v>68</v>
      </c>
      <c r="J216" s="8">
        <v>0.65916666666666668</v>
      </c>
      <c r="K216" s="8">
        <v>0.65916666666666668</v>
      </c>
      <c r="L216" s="8">
        <v>0.65978009259259263</v>
      </c>
      <c r="M216" s="8">
        <f t="shared" si="16"/>
        <v>0</v>
      </c>
      <c r="N216" s="8">
        <f t="shared" si="17"/>
        <v>6.134259259259478E-4</v>
      </c>
    </row>
    <row r="217" spans="1:15" x14ac:dyDescent="0.45">
      <c r="A217" s="7">
        <v>69</v>
      </c>
      <c r="B217" s="8">
        <v>0.66233796296296299</v>
      </c>
      <c r="C217" s="8">
        <v>0.66249999999999998</v>
      </c>
      <c r="D217" s="8">
        <v>0.66303240740740743</v>
      </c>
      <c r="E217" s="8">
        <f t="shared" si="14"/>
        <v>1.6203703703698835E-4</v>
      </c>
      <c r="F217" s="8">
        <f t="shared" si="15"/>
        <v>5.3240740740745363E-4</v>
      </c>
      <c r="G217" t="s">
        <v>13</v>
      </c>
      <c r="I217" s="7">
        <v>69</v>
      </c>
      <c r="J217" s="8">
        <v>0.65950231481481481</v>
      </c>
      <c r="K217" s="8">
        <v>0.65978009259259263</v>
      </c>
      <c r="L217" s="8">
        <v>0.66093749999999996</v>
      </c>
      <c r="M217" s="8">
        <f t="shared" si="16"/>
        <v>2.777777777778212E-4</v>
      </c>
      <c r="N217" s="8">
        <f t="shared" si="17"/>
        <v>1.1574074074073293E-3</v>
      </c>
      <c r="O217" t="s">
        <v>0</v>
      </c>
    </row>
    <row r="218" spans="1:15" x14ac:dyDescent="0.45">
      <c r="A218" s="7">
        <v>70</v>
      </c>
      <c r="B218" s="8">
        <v>0.66327546296296291</v>
      </c>
      <c r="C218" s="8">
        <v>0.66327546296296291</v>
      </c>
      <c r="D218" s="8">
        <v>0.66396990740740736</v>
      </c>
      <c r="E218" s="8">
        <f t="shared" si="14"/>
        <v>0</v>
      </c>
      <c r="F218" s="8">
        <f t="shared" si="15"/>
        <v>6.9444444444444198E-4</v>
      </c>
      <c r="I218" s="7">
        <v>70</v>
      </c>
      <c r="J218" s="8">
        <v>0.66071759259259255</v>
      </c>
      <c r="K218" s="8">
        <v>0.66093749999999996</v>
      </c>
      <c r="L218" s="8">
        <v>0.66189814814814818</v>
      </c>
      <c r="M218" s="8">
        <f t="shared" si="16"/>
        <v>2.1990740740740478E-4</v>
      </c>
      <c r="N218" s="8">
        <f t="shared" si="17"/>
        <v>9.606481481482243E-4</v>
      </c>
    </row>
    <row r="219" spans="1:15" x14ac:dyDescent="0.45">
      <c r="A219" s="7">
        <v>71</v>
      </c>
      <c r="B219" s="8">
        <v>0.66388888888888886</v>
      </c>
      <c r="C219" s="8">
        <v>0.66396990740740736</v>
      </c>
      <c r="D219" s="8">
        <v>0.66487268518518516</v>
      </c>
      <c r="E219" s="8">
        <f t="shared" si="14"/>
        <v>8.1018518518494176E-5</v>
      </c>
      <c r="F219" s="8">
        <f t="shared" si="15"/>
        <v>9.0277777777780788E-4</v>
      </c>
      <c r="I219" s="7">
        <v>71</v>
      </c>
      <c r="J219" s="8">
        <v>0.66177083333333331</v>
      </c>
      <c r="K219" s="8">
        <v>0.66189814814814818</v>
      </c>
      <c r="L219" s="8">
        <v>0.66245370370370371</v>
      </c>
      <c r="M219" s="8">
        <f t="shared" si="16"/>
        <v>1.2731481481487172E-4</v>
      </c>
      <c r="N219" s="8">
        <f t="shared" si="17"/>
        <v>5.5555555555553138E-4</v>
      </c>
    </row>
    <row r="220" spans="1:15" x14ac:dyDescent="0.45">
      <c r="A220" s="7">
        <v>72</v>
      </c>
      <c r="B220" s="8">
        <v>0.66422453703703699</v>
      </c>
      <c r="C220" s="8">
        <v>0.66487268518518516</v>
      </c>
      <c r="D220" s="8">
        <v>0.66554398148148153</v>
      </c>
      <c r="E220" s="8">
        <f t="shared" si="14"/>
        <v>6.4814814814817545E-4</v>
      </c>
      <c r="F220" s="8">
        <f t="shared" si="15"/>
        <v>6.7129629629636423E-4</v>
      </c>
      <c r="I220" s="7">
        <v>72</v>
      </c>
      <c r="J220" s="8">
        <v>0.66315972222222219</v>
      </c>
      <c r="K220" s="8">
        <v>0.66315972222222219</v>
      </c>
      <c r="L220" s="8">
        <v>0.66420138888888891</v>
      </c>
      <c r="M220" s="8">
        <f t="shared" si="16"/>
        <v>0</v>
      </c>
      <c r="N220" s="8">
        <f t="shared" si="17"/>
        <v>1.0416666666667185E-3</v>
      </c>
      <c r="O220" t="s">
        <v>0</v>
      </c>
    </row>
    <row r="221" spans="1:15" x14ac:dyDescent="0.45">
      <c r="A221" s="7">
        <v>73</v>
      </c>
      <c r="B221" s="8">
        <v>0.66596064814814815</v>
      </c>
      <c r="C221" s="8">
        <v>0.66596064814814815</v>
      </c>
      <c r="D221" s="8">
        <v>0.66614583333333333</v>
      </c>
      <c r="E221" s="8">
        <f t="shared" si="14"/>
        <v>0</v>
      </c>
      <c r="F221" s="8">
        <f t="shared" si="15"/>
        <v>1.8518518518517713E-4</v>
      </c>
      <c r="I221" s="7">
        <v>73</v>
      </c>
      <c r="J221" s="8">
        <v>0.66465277777777776</v>
      </c>
      <c r="K221" s="8">
        <v>0.66465277777777776</v>
      </c>
      <c r="L221" s="8">
        <v>0.66541666666666666</v>
      </c>
      <c r="M221" s="8">
        <f t="shared" si="16"/>
        <v>0</v>
      </c>
      <c r="N221" s="8">
        <f t="shared" si="17"/>
        <v>7.6388888888889728E-4</v>
      </c>
    </row>
    <row r="222" spans="1:15" x14ac:dyDescent="0.45">
      <c r="A222" s="7">
        <v>74</v>
      </c>
      <c r="B222" s="8">
        <v>0.66598379629629634</v>
      </c>
      <c r="C222" s="8">
        <v>0.66614583333333333</v>
      </c>
      <c r="D222" s="8">
        <v>0.66733796296296299</v>
      </c>
      <c r="E222" s="8">
        <f t="shared" si="14"/>
        <v>1.6203703703698835E-4</v>
      </c>
      <c r="F222" s="8">
        <f t="shared" si="15"/>
        <v>1.192129629629668E-3</v>
      </c>
      <c r="I222" s="7">
        <v>74</v>
      </c>
      <c r="J222" s="8">
        <v>0.66519675925925925</v>
      </c>
      <c r="K222" s="8">
        <v>0.66541666666666666</v>
      </c>
      <c r="L222" s="8">
        <v>0.66659722222222217</v>
      </c>
      <c r="M222" s="8">
        <f t="shared" si="16"/>
        <v>2.1990740740740478E-4</v>
      </c>
      <c r="N222" s="8">
        <f t="shared" si="17"/>
        <v>1.1805555555555181E-3</v>
      </c>
    </row>
    <row r="223" spans="1:15" x14ac:dyDescent="0.45">
      <c r="I223" s="7">
        <v>75</v>
      </c>
      <c r="J223" s="8">
        <v>0.66615740740740736</v>
      </c>
      <c r="K223" s="8">
        <v>0.66659722222222217</v>
      </c>
      <c r="L223" s="8">
        <v>0.6672569444444445</v>
      </c>
      <c r="M223" s="8">
        <f t="shared" si="16"/>
        <v>4.3981481481480955E-4</v>
      </c>
      <c r="N223" s="8">
        <f t="shared" si="17"/>
        <v>6.5972222222232535E-4</v>
      </c>
    </row>
    <row r="225" spans="1:15" x14ac:dyDescent="0.45">
      <c r="A225" t="s">
        <v>27</v>
      </c>
      <c r="I225" t="s">
        <v>28</v>
      </c>
    </row>
    <row r="226" spans="1:15" x14ac:dyDescent="0.45">
      <c r="A226" s="10" t="s">
        <v>26</v>
      </c>
      <c r="B226" s="11" t="s">
        <v>5</v>
      </c>
      <c r="C226" s="11" t="s">
        <v>6</v>
      </c>
      <c r="D226" s="11" t="s">
        <v>7</v>
      </c>
      <c r="E226" s="11" t="s">
        <v>8</v>
      </c>
      <c r="F226" s="11" t="s">
        <v>10</v>
      </c>
      <c r="G226" s="12" t="s">
        <v>9</v>
      </c>
      <c r="I226" s="10" t="s">
        <v>26</v>
      </c>
      <c r="J226" s="11" t="s">
        <v>5</v>
      </c>
      <c r="K226" s="11" t="s">
        <v>6</v>
      </c>
      <c r="L226" s="11" t="s">
        <v>7</v>
      </c>
      <c r="M226" s="11" t="s">
        <v>8</v>
      </c>
      <c r="N226" s="11" t="s">
        <v>10</v>
      </c>
      <c r="O226" s="12" t="s">
        <v>9</v>
      </c>
    </row>
    <row r="227" spans="1:15" x14ac:dyDescent="0.45">
      <c r="A227" s="7">
        <v>1</v>
      </c>
      <c r="B227" s="8">
        <v>0.62509259259259264</v>
      </c>
      <c r="C227" s="8">
        <v>0.62509259259259264</v>
      </c>
      <c r="D227" s="8">
        <v>0.6253009259259259</v>
      </c>
      <c r="E227" s="8">
        <f>$C227-$B227</f>
        <v>0</v>
      </c>
      <c r="F227" s="8">
        <f>$D227-$C227</f>
        <v>2.0833333333325488E-4</v>
      </c>
      <c r="I227" s="7">
        <v>1</v>
      </c>
      <c r="J227" s="8">
        <v>0.62563657407407403</v>
      </c>
      <c r="K227" s="8">
        <v>0.62687499999999996</v>
      </c>
      <c r="L227" s="8">
        <v>0.62708333333333333</v>
      </c>
      <c r="M227" s="8">
        <f>$K227-$J227</f>
        <v>1.2384259259259345E-3</v>
      </c>
      <c r="N227" s="8">
        <f>$L227-$K227</f>
        <v>2.083333333333659E-4</v>
      </c>
    </row>
    <row r="228" spans="1:15" x14ac:dyDescent="0.45">
      <c r="A228" s="7">
        <v>2</v>
      </c>
      <c r="B228" s="8">
        <v>0.62611111111111106</v>
      </c>
      <c r="C228" s="8">
        <v>0.62611111111111106</v>
      </c>
      <c r="D228" s="8">
        <v>0.62687499999999996</v>
      </c>
      <c r="E228" s="8">
        <f t="shared" ref="E228:E291" si="18">$C228-$B228</f>
        <v>0</v>
      </c>
      <c r="F228" s="8">
        <f t="shared" ref="F228:F291" si="19">$D228-$C228</f>
        <v>7.6388888888889728E-4</v>
      </c>
      <c r="I228" s="7">
        <v>2</v>
      </c>
      <c r="J228" s="8">
        <v>0.62673611111111116</v>
      </c>
      <c r="K228" s="8">
        <v>0.62725694444444446</v>
      </c>
      <c r="L228" s="8">
        <v>0.62760416666666663</v>
      </c>
      <c r="M228" s="8">
        <f t="shared" ref="M228:M291" si="20">$K228-$J228</f>
        <v>5.2083333333330373E-4</v>
      </c>
      <c r="N228" s="8">
        <f t="shared" ref="N228:N291" si="21">$L228-$K228</f>
        <v>3.4722222222216548E-4</v>
      </c>
    </row>
    <row r="229" spans="1:15" x14ac:dyDescent="0.45">
      <c r="A229" s="7">
        <v>3</v>
      </c>
      <c r="B229" s="8">
        <v>0.62613425925925925</v>
      </c>
      <c r="C229" s="8">
        <v>0.62687499999999996</v>
      </c>
      <c r="D229" s="8">
        <v>0.6284953703703704</v>
      </c>
      <c r="E229" s="8">
        <f t="shared" si="18"/>
        <v>7.407407407407085E-4</v>
      </c>
      <c r="F229" s="8">
        <f t="shared" si="19"/>
        <v>1.6203703703704386E-3</v>
      </c>
      <c r="I229" s="7">
        <v>3</v>
      </c>
      <c r="J229" s="8">
        <v>0.62749999999999995</v>
      </c>
      <c r="K229" s="8">
        <v>0.62762731481481482</v>
      </c>
      <c r="L229" s="8">
        <v>0.62795138888888891</v>
      </c>
      <c r="M229" s="8">
        <f t="shared" si="20"/>
        <v>1.2731481481487172E-4</v>
      </c>
      <c r="N229" s="8">
        <f t="shared" si="21"/>
        <v>3.2407407407408773E-4</v>
      </c>
    </row>
    <row r="230" spans="1:15" x14ac:dyDescent="0.45">
      <c r="A230" s="7">
        <v>4</v>
      </c>
      <c r="B230" s="8">
        <v>0.62697916666666664</v>
      </c>
      <c r="C230" s="8">
        <v>0.6284953703703704</v>
      </c>
      <c r="D230" s="8">
        <v>0.62880787037037034</v>
      </c>
      <c r="E230" s="8">
        <f t="shared" si="18"/>
        <v>1.5162037037037557E-3</v>
      </c>
      <c r="F230" s="8">
        <f t="shared" si="19"/>
        <v>3.1249999999993783E-4</v>
      </c>
      <c r="I230" s="7">
        <v>4</v>
      </c>
      <c r="J230" s="8">
        <v>0.62785879629629626</v>
      </c>
      <c r="K230" s="8">
        <v>0.62815972222222227</v>
      </c>
      <c r="L230" s="8">
        <v>0.62893518518518521</v>
      </c>
      <c r="M230" s="8">
        <f t="shared" si="20"/>
        <v>3.0092592592600997E-4</v>
      </c>
      <c r="N230" s="8">
        <f t="shared" si="21"/>
        <v>7.7546296296293615E-4</v>
      </c>
    </row>
    <row r="231" spans="1:15" x14ac:dyDescent="0.45">
      <c r="A231" s="7">
        <v>5</v>
      </c>
      <c r="B231" s="8">
        <v>0.62827546296296299</v>
      </c>
      <c r="C231" s="8">
        <v>0.62880787037037034</v>
      </c>
      <c r="D231" s="8">
        <v>0.63032407407407409</v>
      </c>
      <c r="E231" s="8">
        <f t="shared" si="18"/>
        <v>5.324074074073426E-4</v>
      </c>
      <c r="F231" s="8">
        <f t="shared" si="19"/>
        <v>1.5162037037037557E-3</v>
      </c>
      <c r="G231" t="s">
        <v>13</v>
      </c>
      <c r="I231" s="7">
        <v>5</v>
      </c>
      <c r="J231" s="8">
        <v>0.62824074074074077</v>
      </c>
      <c r="K231" s="8">
        <v>0.62905092592592593</v>
      </c>
      <c r="L231" s="8">
        <v>0.62982638888888887</v>
      </c>
      <c r="M231" s="8">
        <f t="shared" si="20"/>
        <v>8.101851851851638E-4</v>
      </c>
      <c r="N231" s="8">
        <f t="shared" si="21"/>
        <v>7.7546296296293615E-4</v>
      </c>
    </row>
    <row r="232" spans="1:15" x14ac:dyDescent="0.45">
      <c r="A232" s="7">
        <v>6</v>
      </c>
      <c r="B232" s="8">
        <v>0.62907407407407412</v>
      </c>
      <c r="C232" s="8">
        <v>0.63032407407407409</v>
      </c>
      <c r="D232" s="8">
        <v>0.63052083333333331</v>
      </c>
      <c r="E232" s="8">
        <f t="shared" si="18"/>
        <v>1.2499999999999734E-3</v>
      </c>
      <c r="F232" s="8">
        <f t="shared" si="19"/>
        <v>1.96759259259216E-4</v>
      </c>
      <c r="I232" s="7">
        <v>6</v>
      </c>
      <c r="J232" s="8">
        <v>0.62865740740740739</v>
      </c>
      <c r="K232" s="8">
        <v>0.63034722222222217</v>
      </c>
      <c r="L232" s="8">
        <v>0.63457175925925924</v>
      </c>
      <c r="M232" s="8">
        <f t="shared" si="20"/>
        <v>1.6898148148147829E-3</v>
      </c>
      <c r="N232" s="8">
        <f t="shared" si="21"/>
        <v>4.2245370370370683E-3</v>
      </c>
      <c r="O232" t="s">
        <v>0</v>
      </c>
    </row>
    <row r="233" spans="1:15" x14ac:dyDescent="0.45">
      <c r="A233" s="7">
        <v>7</v>
      </c>
      <c r="B233" s="8">
        <v>0.6293171296296296</v>
      </c>
      <c r="C233" s="8">
        <v>0.63052083333333331</v>
      </c>
      <c r="D233" s="8">
        <v>0.63092592592592589</v>
      </c>
      <c r="E233" s="8">
        <f t="shared" si="18"/>
        <v>1.2037037037037068E-3</v>
      </c>
      <c r="F233" s="8">
        <f t="shared" si="19"/>
        <v>4.050925925925819E-4</v>
      </c>
      <c r="I233" s="7">
        <v>7</v>
      </c>
      <c r="J233" s="8">
        <v>0.63302083333333337</v>
      </c>
      <c r="K233" s="8">
        <v>0.63458333333333339</v>
      </c>
      <c r="L233" s="8">
        <v>0.63497685185185182</v>
      </c>
      <c r="M233" s="8">
        <f t="shared" si="20"/>
        <v>1.5625000000000222E-3</v>
      </c>
      <c r="N233" s="8">
        <f t="shared" si="21"/>
        <v>3.93518518518432E-4</v>
      </c>
    </row>
    <row r="234" spans="1:15" x14ac:dyDescent="0.45">
      <c r="A234" s="7">
        <v>8</v>
      </c>
      <c r="B234" s="8">
        <v>0.62932870370370375</v>
      </c>
      <c r="C234" s="8">
        <v>0.63092592592592589</v>
      </c>
      <c r="D234" s="8">
        <v>0.63168981481481479</v>
      </c>
      <c r="E234" s="8">
        <f t="shared" si="18"/>
        <v>1.5972222222221388E-3</v>
      </c>
      <c r="F234" s="8">
        <f t="shared" si="19"/>
        <v>7.6388888888889728E-4</v>
      </c>
      <c r="I234" s="7">
        <v>8</v>
      </c>
      <c r="J234" s="8">
        <v>0.63320601851851854</v>
      </c>
      <c r="K234" s="8">
        <v>0.63500000000000001</v>
      </c>
      <c r="L234" s="8">
        <v>0.63543981481481482</v>
      </c>
      <c r="M234" s="8">
        <f t="shared" si="20"/>
        <v>1.7939814814814659E-3</v>
      </c>
      <c r="N234" s="8">
        <f t="shared" si="21"/>
        <v>4.3981481481480955E-4</v>
      </c>
    </row>
    <row r="235" spans="1:15" x14ac:dyDescent="0.45">
      <c r="A235" s="7">
        <v>9</v>
      </c>
      <c r="B235" s="8">
        <v>0.62995370370370374</v>
      </c>
      <c r="C235" s="8">
        <v>0.63168981481481479</v>
      </c>
      <c r="D235" s="8">
        <v>0.63193287037037038</v>
      </c>
      <c r="E235" s="8">
        <f t="shared" si="18"/>
        <v>1.7361111111110494E-3</v>
      </c>
      <c r="F235" s="8">
        <f t="shared" si="19"/>
        <v>2.4305555555559355E-4</v>
      </c>
      <c r="I235" s="7">
        <v>9</v>
      </c>
      <c r="J235" s="8">
        <v>0.63459490740740743</v>
      </c>
      <c r="K235" s="8">
        <v>0.6355439814814815</v>
      </c>
      <c r="L235" s="8">
        <v>0.63634259259259263</v>
      </c>
      <c r="M235" s="8">
        <f t="shared" si="20"/>
        <v>9.490740740740744E-4</v>
      </c>
      <c r="N235" s="8">
        <f t="shared" si="21"/>
        <v>7.9861111111112493E-4</v>
      </c>
      <c r="O235" t="s">
        <v>15</v>
      </c>
    </row>
    <row r="236" spans="1:15" x14ac:dyDescent="0.45">
      <c r="A236" s="7">
        <v>10</v>
      </c>
      <c r="B236" s="8">
        <v>0.63146990740740738</v>
      </c>
      <c r="C236" s="8">
        <v>0.63193287037037038</v>
      </c>
      <c r="D236" s="8">
        <v>0.6322916666666667</v>
      </c>
      <c r="E236" s="8">
        <f t="shared" si="18"/>
        <v>4.6296296296299833E-4</v>
      </c>
      <c r="F236" s="8">
        <f t="shared" si="19"/>
        <v>3.5879629629631538E-4</v>
      </c>
      <c r="I236" s="7">
        <v>10</v>
      </c>
      <c r="J236" s="8">
        <v>0.635625</v>
      </c>
      <c r="K236" s="8">
        <v>0.6363657407407407</v>
      </c>
      <c r="L236" s="8">
        <v>0.63681712962962966</v>
      </c>
      <c r="M236" s="8">
        <f t="shared" si="20"/>
        <v>7.407407407407085E-4</v>
      </c>
      <c r="N236" s="8">
        <f t="shared" si="21"/>
        <v>4.5138888888895945E-4</v>
      </c>
    </row>
    <row r="237" spans="1:15" x14ac:dyDescent="0.45">
      <c r="A237" s="7">
        <v>11</v>
      </c>
      <c r="B237" s="8">
        <v>0.63236111111111115</v>
      </c>
      <c r="C237" s="8">
        <v>0.63236111111111115</v>
      </c>
      <c r="D237" s="8">
        <v>0.63306712962962963</v>
      </c>
      <c r="E237" s="8">
        <f t="shared" si="18"/>
        <v>0</v>
      </c>
      <c r="F237" s="8">
        <f t="shared" si="19"/>
        <v>7.0601851851848085E-4</v>
      </c>
      <c r="I237" s="7">
        <v>11</v>
      </c>
      <c r="J237" s="8">
        <v>0.63620370370370372</v>
      </c>
      <c r="K237" s="8">
        <v>0.63689814814814816</v>
      </c>
      <c r="L237" s="8">
        <v>0.63746527777777773</v>
      </c>
      <c r="M237" s="8">
        <f t="shared" si="20"/>
        <v>6.9444444444444198E-4</v>
      </c>
      <c r="N237" s="8">
        <f t="shared" si="21"/>
        <v>5.6712962962957025E-4</v>
      </c>
    </row>
    <row r="238" spans="1:15" x14ac:dyDescent="0.45">
      <c r="A238" s="7">
        <v>12</v>
      </c>
      <c r="B238" s="8">
        <v>0.63287037037037042</v>
      </c>
      <c r="C238" s="8">
        <v>0.63306712962962963</v>
      </c>
      <c r="D238" s="8">
        <v>0.63356481481481486</v>
      </c>
      <c r="E238" s="8">
        <f t="shared" si="18"/>
        <v>1.96759259259216E-4</v>
      </c>
      <c r="F238" s="8">
        <f t="shared" si="19"/>
        <v>4.9768518518522598E-4</v>
      </c>
      <c r="I238" s="7">
        <v>12</v>
      </c>
      <c r="J238" s="8">
        <v>0.6371296296296296</v>
      </c>
      <c r="K238" s="8">
        <v>0.63748842592592592</v>
      </c>
      <c r="L238" s="8">
        <v>0.63790509259259254</v>
      </c>
      <c r="M238" s="8">
        <f t="shared" si="20"/>
        <v>3.5879629629631538E-4</v>
      </c>
      <c r="N238" s="8">
        <f t="shared" si="21"/>
        <v>4.1666666666662078E-4</v>
      </c>
    </row>
    <row r="239" spans="1:15" x14ac:dyDescent="0.45">
      <c r="A239" s="7">
        <v>13</v>
      </c>
      <c r="B239" s="8">
        <v>0.63321759259259258</v>
      </c>
      <c r="C239" s="8">
        <v>0.63356481481481486</v>
      </c>
      <c r="D239" s="8">
        <v>0.63386574074074076</v>
      </c>
      <c r="E239" s="8">
        <f t="shared" si="18"/>
        <v>3.472222222222765E-4</v>
      </c>
      <c r="F239" s="8">
        <f t="shared" si="19"/>
        <v>3.0092592592589895E-4</v>
      </c>
      <c r="I239" s="7">
        <v>13</v>
      </c>
      <c r="J239" s="8">
        <v>0.63762731481481483</v>
      </c>
      <c r="K239" s="8">
        <v>0.63806712962962964</v>
      </c>
      <c r="L239" s="8">
        <v>0.63878472222222227</v>
      </c>
      <c r="M239" s="8">
        <f t="shared" si="20"/>
        <v>4.3981481481480955E-4</v>
      </c>
      <c r="N239" s="8">
        <f t="shared" si="21"/>
        <v>7.1759259259263075E-4</v>
      </c>
      <c r="O239" t="s">
        <v>15</v>
      </c>
    </row>
    <row r="240" spans="1:15" x14ac:dyDescent="0.45">
      <c r="A240" s="7">
        <v>14</v>
      </c>
      <c r="B240" s="8">
        <v>0.63346064814814818</v>
      </c>
      <c r="C240" s="8">
        <v>0.63386574074074076</v>
      </c>
      <c r="D240" s="8">
        <v>0.63517361111111115</v>
      </c>
      <c r="E240" s="8">
        <f t="shared" si="18"/>
        <v>4.050925925925819E-4</v>
      </c>
      <c r="F240" s="8">
        <f t="shared" si="19"/>
        <v>1.3078703703703898E-3</v>
      </c>
      <c r="G240" t="s">
        <v>13</v>
      </c>
      <c r="I240" s="7">
        <v>14</v>
      </c>
      <c r="J240" s="8">
        <v>0.63817129629629632</v>
      </c>
      <c r="K240" s="8">
        <v>0.6388194444444445</v>
      </c>
      <c r="L240" s="8">
        <v>0.64048611111111109</v>
      </c>
      <c r="M240" s="8">
        <f t="shared" si="20"/>
        <v>6.4814814814817545E-4</v>
      </c>
      <c r="N240" s="8">
        <f t="shared" si="21"/>
        <v>1.6666666666665941E-3</v>
      </c>
    </row>
    <row r="241" spans="1:15" x14ac:dyDescent="0.45">
      <c r="A241" s="7">
        <v>15</v>
      </c>
      <c r="B241" s="8">
        <v>0.63415509259259262</v>
      </c>
      <c r="C241" s="8">
        <v>0.63517361111111115</v>
      </c>
      <c r="D241" s="8">
        <v>0.6358449074074074</v>
      </c>
      <c r="E241" s="8">
        <f t="shared" si="18"/>
        <v>1.0185185185185297E-3</v>
      </c>
      <c r="F241" s="8">
        <f t="shared" si="19"/>
        <v>6.712962962962532E-4</v>
      </c>
      <c r="I241" s="7">
        <v>15</v>
      </c>
      <c r="J241" s="8">
        <v>0.63839120370370372</v>
      </c>
      <c r="K241" s="8">
        <v>0.64054398148148151</v>
      </c>
      <c r="L241" s="8">
        <v>0.64120370370370372</v>
      </c>
      <c r="M241" s="8">
        <f t="shared" si="20"/>
        <v>2.1527777777777812E-3</v>
      </c>
      <c r="N241" s="8">
        <f t="shared" si="21"/>
        <v>6.5972222222221433E-4</v>
      </c>
    </row>
    <row r="242" spans="1:15" x14ac:dyDescent="0.45">
      <c r="A242" s="7">
        <v>16</v>
      </c>
      <c r="B242" s="8">
        <v>0.63550925925925927</v>
      </c>
      <c r="C242" s="8">
        <v>0.6358449074074074</v>
      </c>
      <c r="D242" s="8">
        <v>0.63672453703703702</v>
      </c>
      <c r="E242" s="8">
        <f t="shared" si="18"/>
        <v>3.356481481481266E-4</v>
      </c>
      <c r="F242" s="8">
        <f t="shared" si="19"/>
        <v>8.796296296296191E-4</v>
      </c>
      <c r="I242" s="7">
        <v>16</v>
      </c>
      <c r="J242" s="8">
        <v>0.63927083333333334</v>
      </c>
      <c r="K242" s="8">
        <v>0.64131944444444444</v>
      </c>
      <c r="L242" s="8">
        <v>0.64166666666666672</v>
      </c>
      <c r="M242" s="8">
        <f t="shared" si="20"/>
        <v>2.0486111111110983E-3</v>
      </c>
      <c r="N242" s="8">
        <f t="shared" si="21"/>
        <v>3.472222222222765E-4</v>
      </c>
    </row>
    <row r="243" spans="1:15" x14ac:dyDescent="0.45">
      <c r="A243" s="7">
        <v>17</v>
      </c>
      <c r="B243" s="8">
        <v>0.63564814814814818</v>
      </c>
      <c r="C243" s="8">
        <v>0.63672453703703702</v>
      </c>
      <c r="D243" s="8">
        <v>0.63734953703703701</v>
      </c>
      <c r="E243" s="8">
        <f t="shared" si="18"/>
        <v>1.0763888888888351E-3</v>
      </c>
      <c r="F243" s="8">
        <f t="shared" si="19"/>
        <v>6.2499999999998668E-4</v>
      </c>
      <c r="I243" s="7">
        <v>17</v>
      </c>
      <c r="J243" s="8">
        <v>0.6395601851851852</v>
      </c>
      <c r="K243" s="8">
        <v>0.64174768518518521</v>
      </c>
      <c r="L243" s="8">
        <v>0.64188657407407412</v>
      </c>
      <c r="M243" s="8">
        <f t="shared" si="20"/>
        <v>2.1875000000000089E-3</v>
      </c>
      <c r="N243" s="8">
        <f t="shared" si="21"/>
        <v>1.388888888889106E-4</v>
      </c>
    </row>
    <row r="244" spans="1:15" x14ac:dyDescent="0.45">
      <c r="A244" s="7">
        <v>18</v>
      </c>
      <c r="B244" s="8">
        <v>0.63613425925925926</v>
      </c>
      <c r="C244" s="8">
        <v>0.63734953703703701</v>
      </c>
      <c r="D244" s="8">
        <v>0.63840277777777776</v>
      </c>
      <c r="E244" s="8">
        <f t="shared" si="18"/>
        <v>1.2152777777777457E-3</v>
      </c>
      <c r="F244" s="8">
        <f t="shared" si="19"/>
        <v>1.0532407407407574E-3</v>
      </c>
      <c r="I244" s="7">
        <v>18</v>
      </c>
      <c r="J244" s="8">
        <v>0.63982638888888888</v>
      </c>
      <c r="K244" s="8">
        <v>0.64196759259259262</v>
      </c>
      <c r="L244" s="8">
        <v>0.64212962962962961</v>
      </c>
      <c r="M244" s="8">
        <f t="shared" si="20"/>
        <v>2.1412037037037424E-3</v>
      </c>
      <c r="N244" s="8">
        <f t="shared" si="21"/>
        <v>1.6203703703698835E-4</v>
      </c>
    </row>
    <row r="245" spans="1:15" x14ac:dyDescent="0.45">
      <c r="A245" s="7">
        <v>19</v>
      </c>
      <c r="B245" s="8">
        <v>0.63668981481481479</v>
      </c>
      <c r="C245" s="8">
        <v>0.63840277777777776</v>
      </c>
      <c r="D245" s="8">
        <v>0.6388194444444445</v>
      </c>
      <c r="E245" s="8">
        <f t="shared" si="18"/>
        <v>1.7129629629629717E-3</v>
      </c>
      <c r="F245" s="8">
        <f t="shared" si="19"/>
        <v>4.166666666667318E-4</v>
      </c>
      <c r="I245" s="7">
        <v>19</v>
      </c>
      <c r="J245" s="8">
        <v>0.64112268518518523</v>
      </c>
      <c r="K245" s="8">
        <v>0.64216435185185183</v>
      </c>
      <c r="L245" s="8">
        <v>0.64336805555555554</v>
      </c>
      <c r="M245" s="8">
        <f t="shared" si="20"/>
        <v>1.0416666666666075E-3</v>
      </c>
      <c r="N245" s="8">
        <f t="shared" si="21"/>
        <v>1.2037037037037068E-3</v>
      </c>
      <c r="O245" t="s">
        <v>15</v>
      </c>
    </row>
    <row r="246" spans="1:15" x14ac:dyDescent="0.45">
      <c r="A246" s="7">
        <v>20</v>
      </c>
      <c r="B246" s="8">
        <v>0.63748842592592592</v>
      </c>
      <c r="C246" s="8">
        <v>0.6388194444444445</v>
      </c>
      <c r="D246" s="8">
        <v>0.63942129629629629</v>
      </c>
      <c r="E246" s="8">
        <f t="shared" si="18"/>
        <v>1.3310185185185786E-3</v>
      </c>
      <c r="F246" s="8">
        <f t="shared" si="19"/>
        <v>6.018518518517979E-4</v>
      </c>
      <c r="I246" s="7">
        <v>20</v>
      </c>
      <c r="J246" s="8">
        <v>0.64209490740740738</v>
      </c>
      <c r="K246" s="8">
        <v>0.64341435185185181</v>
      </c>
      <c r="L246" s="8">
        <v>0.64413194444444444</v>
      </c>
      <c r="M246" s="8">
        <f t="shared" si="20"/>
        <v>1.3194444444444287E-3</v>
      </c>
      <c r="N246" s="8">
        <f t="shared" si="21"/>
        <v>7.1759259259263075E-4</v>
      </c>
    </row>
    <row r="247" spans="1:15" x14ac:dyDescent="0.45">
      <c r="A247" s="7">
        <v>21</v>
      </c>
      <c r="B247" s="8">
        <v>0.6390393518518519</v>
      </c>
      <c r="C247" s="8">
        <v>0.63942129629629629</v>
      </c>
      <c r="D247" s="8">
        <v>0.64042824074074078</v>
      </c>
      <c r="E247" s="8">
        <f t="shared" si="18"/>
        <v>3.8194444444439313E-4</v>
      </c>
      <c r="F247" s="8">
        <f t="shared" si="19"/>
        <v>1.0069444444444908E-3</v>
      </c>
      <c r="G247" t="s">
        <v>13</v>
      </c>
      <c r="I247" s="7">
        <v>21</v>
      </c>
      <c r="J247" s="8">
        <v>0.64247685185185188</v>
      </c>
      <c r="K247" s="8">
        <v>0.64432870370370365</v>
      </c>
      <c r="L247" s="8">
        <v>0.6449421296296296</v>
      </c>
      <c r="M247" s="8">
        <f t="shared" si="20"/>
        <v>1.8518518518517713E-3</v>
      </c>
      <c r="N247" s="8">
        <f t="shared" si="21"/>
        <v>6.134259259259478E-4</v>
      </c>
    </row>
    <row r="248" spans="1:15" x14ac:dyDescent="0.45">
      <c r="A248" s="7">
        <v>22</v>
      </c>
      <c r="B248" s="8">
        <v>0.63912037037037039</v>
      </c>
      <c r="C248" s="8">
        <v>0.64042824074074078</v>
      </c>
      <c r="D248" s="8">
        <v>0.64124999999999999</v>
      </c>
      <c r="E248" s="8">
        <f t="shared" si="18"/>
        <v>1.3078703703703898E-3</v>
      </c>
      <c r="F248" s="8">
        <f t="shared" si="19"/>
        <v>8.2175925925920268E-4</v>
      </c>
      <c r="I248" s="7">
        <v>22</v>
      </c>
      <c r="J248" s="8">
        <v>0.64386574074074077</v>
      </c>
      <c r="K248" s="8">
        <v>0.6451041666666667</v>
      </c>
      <c r="L248" s="8">
        <v>0.64532407407407411</v>
      </c>
      <c r="M248" s="8">
        <f t="shared" si="20"/>
        <v>1.2384259259259345E-3</v>
      </c>
      <c r="N248" s="8">
        <f t="shared" si="21"/>
        <v>2.1990740740740478E-4</v>
      </c>
    </row>
    <row r="249" spans="1:15" x14ac:dyDescent="0.45">
      <c r="A249" s="7">
        <v>23</v>
      </c>
      <c r="B249" s="8">
        <v>0.63952546296296298</v>
      </c>
      <c r="C249" s="8">
        <v>0.64124999999999999</v>
      </c>
      <c r="D249" s="8">
        <v>0.64174768518518521</v>
      </c>
      <c r="E249" s="8">
        <f t="shared" si="18"/>
        <v>1.7245370370370106E-3</v>
      </c>
      <c r="F249" s="8">
        <f t="shared" si="19"/>
        <v>4.9768518518522598E-4</v>
      </c>
      <c r="I249" s="7">
        <v>23</v>
      </c>
      <c r="J249" s="8">
        <v>0.64423611111111112</v>
      </c>
      <c r="K249" s="8">
        <v>0.64543981481481483</v>
      </c>
      <c r="L249" s="8">
        <v>0.64577546296296295</v>
      </c>
      <c r="M249" s="8">
        <f t="shared" si="20"/>
        <v>1.2037037037037068E-3</v>
      </c>
      <c r="N249" s="8">
        <f t="shared" si="21"/>
        <v>3.356481481481266E-4</v>
      </c>
    </row>
    <row r="250" spans="1:15" x14ac:dyDescent="0.45">
      <c r="A250" s="7">
        <v>24</v>
      </c>
      <c r="B250" s="8">
        <v>0.63961805555555551</v>
      </c>
      <c r="C250" s="8">
        <v>0.64174768518518521</v>
      </c>
      <c r="D250" s="8">
        <v>0.64230324074074074</v>
      </c>
      <c r="E250" s="8">
        <f t="shared" si="18"/>
        <v>2.1296296296297035E-3</v>
      </c>
      <c r="F250" s="8">
        <f t="shared" si="19"/>
        <v>5.5555555555553138E-4</v>
      </c>
      <c r="I250" s="7">
        <v>24</v>
      </c>
      <c r="J250" s="8">
        <v>0.64486111111111111</v>
      </c>
      <c r="K250" s="8">
        <v>0.64583333333333337</v>
      </c>
      <c r="L250" s="8">
        <v>0.64649305555555558</v>
      </c>
      <c r="M250" s="8">
        <f t="shared" si="20"/>
        <v>9.7222222222226318E-4</v>
      </c>
      <c r="N250" s="8">
        <f t="shared" si="21"/>
        <v>6.5972222222221433E-4</v>
      </c>
    </row>
    <row r="251" spans="1:15" x14ac:dyDescent="0.45">
      <c r="A251" s="7">
        <v>25</v>
      </c>
      <c r="B251" s="8">
        <v>0.64079861111111114</v>
      </c>
      <c r="C251" s="8">
        <v>0.64230324074074074</v>
      </c>
      <c r="D251" s="8">
        <v>0.64263888888888887</v>
      </c>
      <c r="E251" s="8">
        <f t="shared" si="18"/>
        <v>1.5046296296296058E-3</v>
      </c>
      <c r="F251" s="8">
        <f t="shared" si="19"/>
        <v>3.356481481481266E-4</v>
      </c>
      <c r="I251" s="7">
        <v>25</v>
      </c>
      <c r="J251" s="8">
        <v>0.64591435185185186</v>
      </c>
      <c r="K251" s="8">
        <v>0.64682870370370371</v>
      </c>
      <c r="L251" s="8">
        <v>0.6472106481481481</v>
      </c>
      <c r="M251" s="8">
        <f t="shared" si="20"/>
        <v>9.1435185185184675E-4</v>
      </c>
      <c r="N251" s="8">
        <f t="shared" si="21"/>
        <v>3.8194444444439313E-4</v>
      </c>
    </row>
    <row r="252" spans="1:15" x14ac:dyDescent="0.45">
      <c r="A252" s="7">
        <v>26</v>
      </c>
      <c r="B252" s="8">
        <v>0.6416087962962963</v>
      </c>
      <c r="C252" s="8">
        <v>0.64263888888888887</v>
      </c>
      <c r="D252" s="8">
        <v>0.64290509259259254</v>
      </c>
      <c r="E252" s="8">
        <f t="shared" si="18"/>
        <v>1.0300925925925686E-3</v>
      </c>
      <c r="F252" s="8">
        <f t="shared" si="19"/>
        <v>2.662037037036713E-4</v>
      </c>
      <c r="I252" s="7">
        <v>26</v>
      </c>
      <c r="J252" s="8">
        <v>0.64657407407407408</v>
      </c>
      <c r="K252" s="8">
        <v>0.64728009259259256</v>
      </c>
      <c r="L252" s="8">
        <v>0.64780092592592597</v>
      </c>
      <c r="M252" s="8">
        <f t="shared" si="20"/>
        <v>7.0601851851848085E-4</v>
      </c>
      <c r="N252" s="8">
        <f t="shared" si="21"/>
        <v>5.2083333333341475E-4</v>
      </c>
    </row>
    <row r="253" spans="1:15" x14ac:dyDescent="0.45">
      <c r="A253" s="7">
        <v>27</v>
      </c>
      <c r="B253" s="8">
        <v>0.64318287037037036</v>
      </c>
      <c r="C253" s="8">
        <v>0.64318287037037036</v>
      </c>
      <c r="D253" s="8">
        <v>0.64402777777777775</v>
      </c>
      <c r="E253" s="8">
        <f t="shared" si="18"/>
        <v>0</v>
      </c>
      <c r="F253" s="8">
        <f t="shared" si="19"/>
        <v>8.4490740740739145E-4</v>
      </c>
      <c r="I253" s="7">
        <v>27</v>
      </c>
      <c r="J253" s="8">
        <v>0.64670138888888884</v>
      </c>
      <c r="K253" s="8">
        <v>0.64796296296296296</v>
      </c>
      <c r="L253" s="8">
        <v>0.64814814814814814</v>
      </c>
      <c r="M253" s="8">
        <f t="shared" si="20"/>
        <v>1.2615740740741233E-3</v>
      </c>
      <c r="N253" s="8">
        <f t="shared" si="21"/>
        <v>1.8518518518517713E-4</v>
      </c>
    </row>
    <row r="254" spans="1:15" x14ac:dyDescent="0.45">
      <c r="A254" s="7">
        <v>28</v>
      </c>
      <c r="B254" s="8">
        <v>0.64336805555555554</v>
      </c>
      <c r="C254" s="8">
        <v>0.64402777777777775</v>
      </c>
      <c r="D254" s="8">
        <v>0.64449074074074075</v>
      </c>
      <c r="E254" s="8">
        <f t="shared" si="18"/>
        <v>6.5972222222221433E-4</v>
      </c>
      <c r="F254" s="8">
        <f t="shared" si="19"/>
        <v>4.6296296296299833E-4</v>
      </c>
      <c r="I254" s="7">
        <v>28</v>
      </c>
      <c r="J254" s="8">
        <v>0.64693287037037039</v>
      </c>
      <c r="K254" s="8">
        <v>0.64846064814814819</v>
      </c>
      <c r="L254" s="8">
        <v>0.64913194444444444</v>
      </c>
      <c r="M254" s="8">
        <f t="shared" si="20"/>
        <v>1.5277777777777946E-3</v>
      </c>
      <c r="N254" s="8">
        <f t="shared" si="21"/>
        <v>6.712962962962532E-4</v>
      </c>
    </row>
    <row r="255" spans="1:15" x14ac:dyDescent="0.45">
      <c r="A255" s="7">
        <v>29</v>
      </c>
      <c r="B255" s="8">
        <v>0.64355324074074072</v>
      </c>
      <c r="C255" s="8">
        <v>0.64449074074074075</v>
      </c>
      <c r="D255" s="8">
        <v>0.64517361111111116</v>
      </c>
      <c r="E255" s="8">
        <f t="shared" si="18"/>
        <v>9.3750000000003553E-4</v>
      </c>
      <c r="F255" s="8">
        <f t="shared" si="19"/>
        <v>6.828703703704031E-4</v>
      </c>
      <c r="I255" s="7">
        <v>29</v>
      </c>
      <c r="J255" s="8">
        <v>0.64752314814814815</v>
      </c>
      <c r="K255" s="8">
        <v>0.64916666666666667</v>
      </c>
      <c r="L255" s="8">
        <v>0.64984953703703707</v>
      </c>
      <c r="M255" s="8">
        <f t="shared" si="20"/>
        <v>1.6435185185185164E-3</v>
      </c>
      <c r="N255" s="8">
        <f t="shared" si="21"/>
        <v>6.828703703704031E-4</v>
      </c>
      <c r="O255" t="s">
        <v>15</v>
      </c>
    </row>
    <row r="256" spans="1:15" x14ac:dyDescent="0.45">
      <c r="A256" s="7">
        <v>30</v>
      </c>
      <c r="B256" s="8">
        <v>0.64379629629629631</v>
      </c>
      <c r="C256" s="8">
        <v>0.64517361111111116</v>
      </c>
      <c r="D256" s="8">
        <v>0.64541666666666664</v>
      </c>
      <c r="E256" s="8">
        <f t="shared" si="18"/>
        <v>1.3773148148148451E-3</v>
      </c>
      <c r="F256" s="8">
        <f t="shared" si="19"/>
        <v>2.4305555555548253E-4</v>
      </c>
      <c r="I256" s="7">
        <v>30</v>
      </c>
      <c r="J256" s="8">
        <v>0.64829861111111109</v>
      </c>
      <c r="K256" s="8">
        <v>0.64993055555555557</v>
      </c>
      <c r="L256" s="8">
        <v>0.6507060185185185</v>
      </c>
      <c r="M256" s="8">
        <f t="shared" si="20"/>
        <v>1.6319444444444775E-3</v>
      </c>
      <c r="N256" s="8">
        <f t="shared" si="21"/>
        <v>7.7546296296293615E-4</v>
      </c>
    </row>
    <row r="257" spans="1:15" x14ac:dyDescent="0.45">
      <c r="A257" s="7">
        <v>31</v>
      </c>
      <c r="B257" s="8">
        <v>0.64424768518518516</v>
      </c>
      <c r="C257" s="8">
        <v>0.64541666666666664</v>
      </c>
      <c r="D257" s="8">
        <v>0.645625</v>
      </c>
      <c r="E257" s="8">
        <f t="shared" si="18"/>
        <v>1.1689814814814792E-3</v>
      </c>
      <c r="F257" s="8">
        <f t="shared" si="19"/>
        <v>2.083333333333659E-4</v>
      </c>
      <c r="I257" s="7">
        <v>31</v>
      </c>
      <c r="J257" s="8">
        <v>0.64858796296296295</v>
      </c>
      <c r="K257" s="8">
        <v>0.65075231481481477</v>
      </c>
      <c r="L257" s="8">
        <v>0.65122685185185181</v>
      </c>
      <c r="M257" s="8">
        <f t="shared" si="20"/>
        <v>2.1643518518518201E-3</v>
      </c>
      <c r="N257" s="8">
        <f t="shared" si="21"/>
        <v>4.745370370370372E-4</v>
      </c>
    </row>
    <row r="258" spans="1:15" x14ac:dyDescent="0.45">
      <c r="A258" s="7">
        <v>32</v>
      </c>
      <c r="B258" s="8">
        <v>0.64461805555555551</v>
      </c>
      <c r="C258" s="8">
        <v>0.645625</v>
      </c>
      <c r="D258" s="8">
        <v>0.64628472222222222</v>
      </c>
      <c r="E258" s="8">
        <f t="shared" si="18"/>
        <v>1.0069444444444908E-3</v>
      </c>
      <c r="F258" s="8">
        <f t="shared" si="19"/>
        <v>6.5972222222221433E-4</v>
      </c>
      <c r="G258" t="s">
        <v>13</v>
      </c>
      <c r="I258" s="7">
        <v>32</v>
      </c>
      <c r="J258" s="8">
        <v>0.64869212962962963</v>
      </c>
      <c r="K258" s="8">
        <v>0.65133101851851849</v>
      </c>
      <c r="L258" s="8">
        <v>0.65151620370370367</v>
      </c>
      <c r="M258" s="8">
        <f t="shared" si="20"/>
        <v>2.6388888888888573E-3</v>
      </c>
      <c r="N258" s="8">
        <f t="shared" si="21"/>
        <v>1.8518518518517713E-4</v>
      </c>
    </row>
    <row r="259" spans="1:15" x14ac:dyDescent="0.45">
      <c r="A259" s="7">
        <v>33</v>
      </c>
      <c r="B259" s="8">
        <v>0.64579861111111114</v>
      </c>
      <c r="C259" s="8">
        <v>0.64628472222222222</v>
      </c>
      <c r="D259" s="8">
        <v>0.64726851851851852</v>
      </c>
      <c r="E259" s="8">
        <f t="shared" si="18"/>
        <v>4.8611111111107608E-4</v>
      </c>
      <c r="F259" s="8">
        <f t="shared" si="19"/>
        <v>9.8379629629630205E-4</v>
      </c>
      <c r="I259" s="7">
        <v>33</v>
      </c>
      <c r="J259" s="8">
        <v>0.64878472222222228</v>
      </c>
      <c r="K259" s="8">
        <v>0.65155092592592589</v>
      </c>
      <c r="L259" s="8">
        <v>0.65225694444444449</v>
      </c>
      <c r="M259" s="8">
        <f t="shared" si="20"/>
        <v>2.766203703703618E-3</v>
      </c>
      <c r="N259" s="8">
        <f t="shared" si="21"/>
        <v>7.0601851851859188E-4</v>
      </c>
    </row>
    <row r="260" spans="1:15" x14ac:dyDescent="0.45">
      <c r="A260" s="7">
        <v>34</v>
      </c>
      <c r="B260" s="8">
        <v>0.64688657407407413</v>
      </c>
      <c r="C260" s="8">
        <v>0.64726851851851852</v>
      </c>
      <c r="D260" s="8">
        <v>0.64836805555555554</v>
      </c>
      <c r="E260" s="8">
        <f t="shared" si="18"/>
        <v>3.8194444444439313E-4</v>
      </c>
      <c r="F260" s="8">
        <f t="shared" si="19"/>
        <v>1.0995370370370239E-3</v>
      </c>
      <c r="I260" s="7">
        <v>34</v>
      </c>
      <c r="J260" s="8">
        <v>0.64932870370370366</v>
      </c>
      <c r="K260" s="8">
        <v>0.65234953703703702</v>
      </c>
      <c r="L260" s="8">
        <v>0.65290509259259255</v>
      </c>
      <c r="M260" s="8">
        <f t="shared" si="20"/>
        <v>3.0208333333333615E-3</v>
      </c>
      <c r="N260" s="8">
        <f t="shared" si="21"/>
        <v>5.5555555555553138E-4</v>
      </c>
    </row>
    <row r="261" spans="1:15" x14ac:dyDescent="0.45">
      <c r="A261" s="7">
        <v>35</v>
      </c>
      <c r="B261" s="8">
        <v>0.64689814814814817</v>
      </c>
      <c r="C261" s="8">
        <v>0.64836805555555554</v>
      </c>
      <c r="D261" s="8">
        <v>0.64927083333333335</v>
      </c>
      <c r="E261" s="8">
        <f t="shared" si="18"/>
        <v>1.4699074074073781E-3</v>
      </c>
      <c r="F261" s="8">
        <f t="shared" si="19"/>
        <v>9.0277777777780788E-4</v>
      </c>
      <c r="I261" s="7">
        <v>35</v>
      </c>
      <c r="J261" s="8">
        <v>0.6501851851851852</v>
      </c>
      <c r="K261" s="8">
        <v>0.65307870370370369</v>
      </c>
      <c r="L261" s="8">
        <v>0.65335648148148151</v>
      </c>
      <c r="M261" s="8">
        <f t="shared" si="20"/>
        <v>2.8935185185184897E-3</v>
      </c>
      <c r="N261" s="8">
        <f t="shared" si="21"/>
        <v>2.777777777778212E-4</v>
      </c>
    </row>
    <row r="262" spans="1:15" x14ac:dyDescent="0.45">
      <c r="A262" s="7">
        <v>36</v>
      </c>
      <c r="B262" s="8">
        <v>0.64693287037037039</v>
      </c>
      <c r="C262" s="8">
        <v>0.64927083333333335</v>
      </c>
      <c r="D262" s="8">
        <v>0.64991898148148153</v>
      </c>
      <c r="E262" s="8">
        <f t="shared" si="18"/>
        <v>2.3379629629629584E-3</v>
      </c>
      <c r="F262" s="8">
        <f t="shared" si="19"/>
        <v>6.4814814814817545E-4</v>
      </c>
      <c r="I262" s="7">
        <v>36</v>
      </c>
      <c r="J262" s="8">
        <v>0.65109953703703705</v>
      </c>
      <c r="K262" s="8">
        <v>0.6534375</v>
      </c>
      <c r="L262" s="8">
        <v>0.65383101851851855</v>
      </c>
      <c r="M262" s="8">
        <f t="shared" si="20"/>
        <v>2.3379629629629584E-3</v>
      </c>
      <c r="N262" s="8">
        <f t="shared" si="21"/>
        <v>3.9351851851854303E-4</v>
      </c>
    </row>
    <row r="263" spans="1:15" x14ac:dyDescent="0.45">
      <c r="A263" s="7">
        <v>37</v>
      </c>
      <c r="B263" s="8">
        <v>0.64724537037037033</v>
      </c>
      <c r="C263" s="8">
        <v>0.64991898148148153</v>
      </c>
      <c r="D263" s="8">
        <v>0.65043981481481483</v>
      </c>
      <c r="E263" s="8">
        <f t="shared" si="18"/>
        <v>2.673611111111196E-3</v>
      </c>
      <c r="F263" s="8">
        <f t="shared" si="19"/>
        <v>5.2083333333330373E-4</v>
      </c>
      <c r="I263" s="7">
        <v>37</v>
      </c>
      <c r="J263" s="8">
        <v>0.65174768518518522</v>
      </c>
      <c r="K263" s="8">
        <v>0.65385416666666663</v>
      </c>
      <c r="L263" s="8">
        <v>0.6545023148148148</v>
      </c>
      <c r="M263" s="8">
        <f t="shared" si="20"/>
        <v>2.1064814814814037E-3</v>
      </c>
      <c r="N263" s="8">
        <f t="shared" si="21"/>
        <v>6.4814814814817545E-4</v>
      </c>
      <c r="O263" t="s">
        <v>0</v>
      </c>
    </row>
    <row r="264" spans="1:15" x14ac:dyDescent="0.45">
      <c r="A264" s="7">
        <v>38</v>
      </c>
      <c r="B264" s="8">
        <v>0.647974537037037</v>
      </c>
      <c r="C264" s="8">
        <v>0.65043981481481483</v>
      </c>
      <c r="D264" s="8">
        <v>0.65104166666666663</v>
      </c>
      <c r="E264" s="8">
        <f t="shared" si="18"/>
        <v>2.4652777777778301E-3</v>
      </c>
      <c r="F264" s="8">
        <f t="shared" si="19"/>
        <v>6.018518518517979E-4</v>
      </c>
      <c r="G264" t="s">
        <v>13</v>
      </c>
      <c r="I264" s="7">
        <v>38</v>
      </c>
      <c r="J264" s="8">
        <v>0.65212962962962961</v>
      </c>
      <c r="K264" s="8">
        <v>0.65459490740740744</v>
      </c>
      <c r="L264" s="8">
        <v>0.6552662037037037</v>
      </c>
      <c r="M264" s="8">
        <f t="shared" si="20"/>
        <v>2.4652777777778301E-3</v>
      </c>
      <c r="N264" s="8">
        <f t="shared" si="21"/>
        <v>6.712962962962532E-4</v>
      </c>
    </row>
    <row r="265" spans="1:15" x14ac:dyDescent="0.45">
      <c r="A265" s="7">
        <v>39</v>
      </c>
      <c r="B265" s="8">
        <v>0.64871527777777782</v>
      </c>
      <c r="C265" s="8">
        <v>0.65104166666666663</v>
      </c>
      <c r="D265" s="8">
        <v>0.65145833333333336</v>
      </c>
      <c r="E265" s="8">
        <f t="shared" si="18"/>
        <v>2.3263888888888085E-3</v>
      </c>
      <c r="F265" s="8">
        <f t="shared" si="19"/>
        <v>4.166666666667318E-4</v>
      </c>
      <c r="I265" s="7">
        <v>39</v>
      </c>
      <c r="J265" s="8">
        <v>0.65252314814814816</v>
      </c>
      <c r="K265" s="8">
        <v>0.65534722222222219</v>
      </c>
      <c r="L265" s="8">
        <v>0.65584490740740742</v>
      </c>
      <c r="M265" s="8">
        <f t="shared" si="20"/>
        <v>2.8240740740740344E-3</v>
      </c>
      <c r="N265" s="8">
        <f t="shared" si="21"/>
        <v>4.9768518518522598E-4</v>
      </c>
    </row>
    <row r="266" spans="1:15" x14ac:dyDescent="0.45">
      <c r="A266" s="7">
        <v>40</v>
      </c>
      <c r="B266" s="8">
        <v>0.64877314814814813</v>
      </c>
      <c r="C266" s="8">
        <v>0.65145833333333336</v>
      </c>
      <c r="D266" s="8">
        <v>0.65194444444444444</v>
      </c>
      <c r="E266" s="8">
        <f t="shared" si="18"/>
        <v>2.6851851851852349E-3</v>
      </c>
      <c r="F266" s="8">
        <f t="shared" si="19"/>
        <v>4.8611111111107608E-4</v>
      </c>
      <c r="I266" s="7">
        <v>40</v>
      </c>
      <c r="J266" s="8">
        <v>0.65277777777777779</v>
      </c>
      <c r="K266" s="8">
        <v>0.65593749999999995</v>
      </c>
      <c r="L266" s="8">
        <v>0.65615740740740736</v>
      </c>
      <c r="M266" s="8">
        <f t="shared" si="20"/>
        <v>3.159722222222161E-3</v>
      </c>
      <c r="N266" s="8">
        <f t="shared" si="21"/>
        <v>2.1990740740740478E-4</v>
      </c>
    </row>
    <row r="267" spans="1:15" x14ac:dyDescent="0.45">
      <c r="A267" s="7">
        <v>41</v>
      </c>
      <c r="B267" s="8">
        <v>0.64914351851851848</v>
      </c>
      <c r="C267" s="8">
        <v>0.65194444444444444</v>
      </c>
      <c r="D267" s="8">
        <v>0.65295138888888893</v>
      </c>
      <c r="E267" s="8">
        <f t="shared" si="18"/>
        <v>2.8009259259259567E-3</v>
      </c>
      <c r="F267" s="8">
        <f t="shared" si="19"/>
        <v>1.0069444444444908E-3</v>
      </c>
      <c r="I267" s="7">
        <v>41</v>
      </c>
      <c r="J267" s="8">
        <v>0.6536805555555556</v>
      </c>
      <c r="K267" s="8">
        <v>0.65618055555555554</v>
      </c>
      <c r="L267" s="8">
        <v>0.65634259259259264</v>
      </c>
      <c r="M267" s="8">
        <f t="shared" si="20"/>
        <v>2.4999999999999467E-3</v>
      </c>
      <c r="N267" s="8">
        <f t="shared" si="21"/>
        <v>1.6203703703709937E-4</v>
      </c>
    </row>
    <row r="268" spans="1:15" x14ac:dyDescent="0.45">
      <c r="A268" s="7">
        <v>42</v>
      </c>
      <c r="B268" s="8">
        <v>0.64958333333333329</v>
      </c>
      <c r="C268" s="8">
        <v>0.65295138888888893</v>
      </c>
      <c r="D268" s="8">
        <v>0.65393518518518523</v>
      </c>
      <c r="E268" s="8">
        <f t="shared" si="18"/>
        <v>3.368055555555638E-3</v>
      </c>
      <c r="F268" s="8">
        <f t="shared" si="19"/>
        <v>9.8379629629630205E-4</v>
      </c>
      <c r="G268" t="s">
        <v>13</v>
      </c>
      <c r="I268" s="7">
        <v>42</v>
      </c>
      <c r="J268" s="8">
        <v>0.65494212962962961</v>
      </c>
      <c r="K268" s="8">
        <v>0.65648148148148144</v>
      </c>
      <c r="L268" s="8">
        <v>0.6582175925925926</v>
      </c>
      <c r="M268" s="8">
        <f t="shared" si="20"/>
        <v>1.5393518518518334E-3</v>
      </c>
      <c r="N268" s="8">
        <f t="shared" si="21"/>
        <v>1.7361111111111605E-3</v>
      </c>
      <c r="O268" t="s">
        <v>15</v>
      </c>
    </row>
    <row r="269" spans="1:15" x14ac:dyDescent="0.45">
      <c r="A269" s="7">
        <v>43</v>
      </c>
      <c r="B269" s="8">
        <v>0.64973379629629635</v>
      </c>
      <c r="C269" s="8">
        <v>0.65393518518518523</v>
      </c>
      <c r="D269" s="8">
        <v>0.65423611111111113</v>
      </c>
      <c r="E269" s="8">
        <f t="shared" si="18"/>
        <v>4.2013888888888795E-3</v>
      </c>
      <c r="F269" s="8">
        <f t="shared" si="19"/>
        <v>3.0092592592589895E-4</v>
      </c>
      <c r="I269" s="7">
        <v>43</v>
      </c>
      <c r="J269" s="8">
        <v>0.65568287037037032</v>
      </c>
      <c r="K269" s="8">
        <v>0.65853009259259254</v>
      </c>
      <c r="L269" s="8">
        <v>0.65869212962962964</v>
      </c>
      <c r="M269" s="8">
        <f t="shared" si="20"/>
        <v>2.8472222222222232E-3</v>
      </c>
      <c r="N269" s="8">
        <f t="shared" si="21"/>
        <v>1.6203703703709937E-4</v>
      </c>
    </row>
    <row r="270" spans="1:15" x14ac:dyDescent="0.45">
      <c r="A270" s="7">
        <v>44</v>
      </c>
      <c r="B270" s="8">
        <v>0.65079861111111115</v>
      </c>
      <c r="C270" s="8">
        <v>0.65422453703703709</v>
      </c>
      <c r="D270" s="8">
        <v>0.65501157407407407</v>
      </c>
      <c r="E270" s="8">
        <f t="shared" si="18"/>
        <v>3.4259259259259434E-3</v>
      </c>
      <c r="F270" s="8">
        <f t="shared" si="19"/>
        <v>7.8703703703697503E-4</v>
      </c>
      <c r="G270" t="s">
        <v>13</v>
      </c>
      <c r="I270" s="7">
        <v>44</v>
      </c>
      <c r="J270" s="8">
        <v>0.6564699074074074</v>
      </c>
      <c r="K270" s="8">
        <v>0.65878472222222217</v>
      </c>
      <c r="L270" s="8">
        <v>0.65917824074074072</v>
      </c>
      <c r="M270" s="8">
        <f t="shared" si="20"/>
        <v>2.3148148148147696E-3</v>
      </c>
      <c r="N270" s="8">
        <f t="shared" si="21"/>
        <v>3.9351851851854303E-4</v>
      </c>
    </row>
    <row r="271" spans="1:15" x14ac:dyDescent="0.45">
      <c r="A271" s="7">
        <v>45</v>
      </c>
      <c r="B271" s="8">
        <v>0.65171296296296299</v>
      </c>
      <c r="C271" s="8">
        <v>0.65501157407407407</v>
      </c>
      <c r="D271" s="8">
        <v>0.65534722222222219</v>
      </c>
      <c r="E271" s="8">
        <f t="shared" si="18"/>
        <v>3.2986111111110716E-3</v>
      </c>
      <c r="F271" s="8">
        <f t="shared" si="19"/>
        <v>3.356481481481266E-4</v>
      </c>
      <c r="I271" s="7">
        <v>45</v>
      </c>
      <c r="J271" s="8">
        <v>0.65675925925925926</v>
      </c>
      <c r="K271" s="8">
        <v>0.65931712962962963</v>
      </c>
      <c r="L271" s="8">
        <v>0.65989583333333335</v>
      </c>
      <c r="M271" s="8">
        <f t="shared" si="20"/>
        <v>2.5578703703703631E-3</v>
      </c>
      <c r="N271" s="8">
        <f t="shared" si="21"/>
        <v>5.7870370370372015E-4</v>
      </c>
    </row>
    <row r="272" spans="1:15" x14ac:dyDescent="0.45">
      <c r="A272" s="7">
        <v>46</v>
      </c>
      <c r="B272" s="8">
        <v>0.65174768518518522</v>
      </c>
      <c r="C272" s="8">
        <v>0.65534722222222219</v>
      </c>
      <c r="D272" s="8">
        <v>0.65574074074074074</v>
      </c>
      <c r="E272" s="8">
        <f t="shared" si="18"/>
        <v>3.5995370370369706E-3</v>
      </c>
      <c r="F272" s="8">
        <f t="shared" si="19"/>
        <v>3.9351851851854303E-4</v>
      </c>
      <c r="I272" s="7">
        <v>46</v>
      </c>
      <c r="J272" s="8">
        <v>0.65696759259259263</v>
      </c>
      <c r="K272" s="8">
        <v>0.65991898148148154</v>
      </c>
      <c r="L272" s="8">
        <v>0.66237268518518522</v>
      </c>
      <c r="M272" s="8">
        <f t="shared" si="20"/>
        <v>2.9513888888889062E-3</v>
      </c>
      <c r="N272" s="8">
        <f t="shared" si="21"/>
        <v>2.4537037037036802E-3</v>
      </c>
      <c r="O272" t="s">
        <v>15</v>
      </c>
    </row>
    <row r="273" spans="1:15" x14ac:dyDescent="0.45">
      <c r="A273" s="7">
        <v>47</v>
      </c>
      <c r="B273" s="8">
        <v>0.65214120370370365</v>
      </c>
      <c r="C273" s="8">
        <v>0.65574074074074074</v>
      </c>
      <c r="D273" s="8">
        <v>0.65638888888888891</v>
      </c>
      <c r="E273" s="8">
        <f t="shared" si="18"/>
        <v>3.5995370370370816E-3</v>
      </c>
      <c r="F273" s="8">
        <f t="shared" si="19"/>
        <v>6.4814814814817545E-4</v>
      </c>
      <c r="I273" s="7">
        <v>47</v>
      </c>
      <c r="J273" s="8">
        <v>0.65716435185185185</v>
      </c>
      <c r="K273" s="8">
        <v>0.66240740740740744</v>
      </c>
      <c r="L273" s="8">
        <v>0.66306712962962966</v>
      </c>
      <c r="M273" s="8">
        <f t="shared" si="20"/>
        <v>5.243055555555598E-3</v>
      </c>
      <c r="N273" s="8">
        <f t="shared" si="21"/>
        <v>6.5972222222221433E-4</v>
      </c>
    </row>
    <row r="274" spans="1:15" x14ac:dyDescent="0.45">
      <c r="A274" s="7">
        <v>48</v>
      </c>
      <c r="B274" s="8">
        <v>0.65439814814814812</v>
      </c>
      <c r="C274" s="8">
        <v>0.65638888888888891</v>
      </c>
      <c r="D274" s="8">
        <v>0.65697916666666667</v>
      </c>
      <c r="E274" s="8">
        <f t="shared" si="18"/>
        <v>1.9907407407407929E-3</v>
      </c>
      <c r="F274" s="8">
        <f t="shared" si="19"/>
        <v>5.9027777777775903E-4</v>
      </c>
      <c r="I274" s="7">
        <v>48</v>
      </c>
      <c r="J274" s="8">
        <v>0.65835648148148151</v>
      </c>
      <c r="K274" s="8">
        <v>0.66310185185185189</v>
      </c>
      <c r="L274" s="8">
        <v>0.66341435185185182</v>
      </c>
      <c r="M274" s="8">
        <f t="shared" si="20"/>
        <v>4.745370370370372E-3</v>
      </c>
      <c r="N274" s="8">
        <f t="shared" si="21"/>
        <v>3.1249999999993783E-4</v>
      </c>
    </row>
    <row r="275" spans="1:15" x14ac:dyDescent="0.45">
      <c r="A275" s="7">
        <v>49</v>
      </c>
      <c r="B275" s="8">
        <v>0.65465277777777775</v>
      </c>
      <c r="C275" s="8">
        <v>0.65697916666666667</v>
      </c>
      <c r="D275" s="8">
        <v>0.65756944444444443</v>
      </c>
      <c r="E275" s="8">
        <f t="shared" si="18"/>
        <v>2.3263888888889195E-3</v>
      </c>
      <c r="F275" s="8">
        <f t="shared" si="19"/>
        <v>5.9027777777775903E-4</v>
      </c>
      <c r="I275" s="7">
        <v>49</v>
      </c>
      <c r="J275" s="8">
        <v>0.65945601851851854</v>
      </c>
      <c r="K275" s="8">
        <v>0.66347222222222224</v>
      </c>
      <c r="L275" s="8">
        <v>0.6635416666666667</v>
      </c>
      <c r="M275" s="8">
        <f t="shared" si="20"/>
        <v>4.0162037037037024E-3</v>
      </c>
      <c r="N275" s="8">
        <f t="shared" si="21"/>
        <v>6.94444444444553E-5</v>
      </c>
      <c r="O275" t="s">
        <v>20</v>
      </c>
    </row>
    <row r="276" spans="1:15" x14ac:dyDescent="0.45">
      <c r="A276" s="7">
        <v>50</v>
      </c>
      <c r="B276" s="8">
        <v>0.65545138888888888</v>
      </c>
      <c r="C276" s="8">
        <v>0.65756944444444443</v>
      </c>
      <c r="D276" s="8">
        <v>0.65835648148148151</v>
      </c>
      <c r="E276" s="8">
        <f t="shared" si="18"/>
        <v>2.1180555555555536E-3</v>
      </c>
      <c r="F276" s="8">
        <f t="shared" si="19"/>
        <v>7.8703703703708605E-4</v>
      </c>
      <c r="I276" s="7">
        <v>50</v>
      </c>
      <c r="J276" s="8">
        <v>0.66018518518518521</v>
      </c>
      <c r="K276" s="8">
        <v>0.66446759259259258</v>
      </c>
      <c r="L276" s="8">
        <v>0.66496527777777781</v>
      </c>
      <c r="M276" s="8">
        <f t="shared" si="20"/>
        <v>4.2824074074073737E-3</v>
      </c>
      <c r="N276" s="8">
        <f t="shared" si="21"/>
        <v>4.9768518518522598E-4</v>
      </c>
    </row>
    <row r="277" spans="1:15" x14ac:dyDescent="0.45">
      <c r="A277" s="7">
        <v>51</v>
      </c>
      <c r="B277" s="8">
        <v>0.65592592592592591</v>
      </c>
      <c r="C277" s="8">
        <v>0.65835648148148151</v>
      </c>
      <c r="D277" s="8">
        <v>0.6589814814814815</v>
      </c>
      <c r="E277" s="8">
        <f t="shared" si="18"/>
        <v>2.4305555555556024E-3</v>
      </c>
      <c r="F277" s="8">
        <f t="shared" si="19"/>
        <v>6.2499999999998668E-4</v>
      </c>
      <c r="I277" s="7">
        <v>51</v>
      </c>
      <c r="J277" s="8">
        <v>0.66152777777777783</v>
      </c>
      <c r="K277" s="8">
        <v>0.66501157407407407</v>
      </c>
      <c r="L277" s="8">
        <v>0.66525462962962967</v>
      </c>
      <c r="M277" s="8">
        <f t="shared" si="20"/>
        <v>3.4837962962962488E-3</v>
      </c>
      <c r="N277" s="8">
        <f t="shared" si="21"/>
        <v>2.4305555555559355E-4</v>
      </c>
    </row>
    <row r="278" spans="1:15" x14ac:dyDescent="0.45">
      <c r="A278" s="7">
        <v>52</v>
      </c>
      <c r="B278" s="8">
        <v>0.65635416666666668</v>
      </c>
      <c r="C278" s="8">
        <v>0.6589814814814815</v>
      </c>
      <c r="D278" s="8">
        <v>0.65952546296296299</v>
      </c>
      <c r="E278" s="8">
        <f t="shared" si="18"/>
        <v>2.6273148148148184E-3</v>
      </c>
      <c r="F278" s="8">
        <f t="shared" si="19"/>
        <v>5.439814814814925E-4</v>
      </c>
      <c r="I278" s="7">
        <v>52</v>
      </c>
      <c r="J278" s="8">
        <v>0.66180555555555554</v>
      </c>
      <c r="K278" s="8">
        <v>0.66539351851851847</v>
      </c>
      <c r="L278" s="8">
        <v>0.66562500000000002</v>
      </c>
      <c r="M278" s="8">
        <f t="shared" si="20"/>
        <v>3.5879629629629317E-3</v>
      </c>
      <c r="N278" s="8">
        <f t="shared" si="21"/>
        <v>2.3148148148155467E-4</v>
      </c>
    </row>
    <row r="279" spans="1:15" x14ac:dyDescent="0.45">
      <c r="A279" s="7">
        <v>53</v>
      </c>
      <c r="B279" s="8">
        <v>0.65694444444444444</v>
      </c>
      <c r="C279" s="8">
        <v>0.65952546296296299</v>
      </c>
      <c r="D279" s="8">
        <v>0.66013888888888894</v>
      </c>
      <c r="E279" s="8">
        <f t="shared" si="18"/>
        <v>2.5810185185185519E-3</v>
      </c>
      <c r="F279" s="8">
        <f t="shared" si="19"/>
        <v>6.134259259259478E-4</v>
      </c>
      <c r="I279" s="7">
        <v>53</v>
      </c>
      <c r="J279" s="8">
        <v>0.6635416666666667</v>
      </c>
      <c r="K279" s="8">
        <v>0.66571759259259256</v>
      </c>
      <c r="L279" s="8">
        <v>0.66628472222222224</v>
      </c>
      <c r="M279" s="8">
        <f t="shared" si="20"/>
        <v>2.175925925925859E-3</v>
      </c>
      <c r="N279" s="8">
        <f t="shared" si="21"/>
        <v>5.6712962962968128E-4</v>
      </c>
    </row>
    <row r="280" spans="1:15" x14ac:dyDescent="0.45">
      <c r="A280" s="7">
        <v>54</v>
      </c>
      <c r="B280" s="8">
        <v>0.65696759259259263</v>
      </c>
      <c r="C280" s="8">
        <v>0.66013888888888894</v>
      </c>
      <c r="D280" s="8">
        <v>0.66081018518518519</v>
      </c>
      <c r="E280" s="8">
        <f t="shared" si="18"/>
        <v>3.1712962962963109E-3</v>
      </c>
      <c r="F280" s="8">
        <f t="shared" si="19"/>
        <v>6.712962962962532E-4</v>
      </c>
      <c r="I280" s="7">
        <v>54</v>
      </c>
      <c r="J280" s="8">
        <v>0.66468749999999999</v>
      </c>
      <c r="K280" s="8">
        <v>0.66642361111111115</v>
      </c>
      <c r="L280" s="8">
        <v>0.66708333333333336</v>
      </c>
      <c r="M280" s="8">
        <f t="shared" si="20"/>
        <v>1.7361111111111605E-3</v>
      </c>
      <c r="N280" s="8">
        <f t="shared" si="21"/>
        <v>6.5972222222221433E-4</v>
      </c>
    </row>
    <row r="281" spans="1:15" x14ac:dyDescent="0.45">
      <c r="A281" s="7">
        <v>55</v>
      </c>
      <c r="B281" s="8">
        <v>0.65734953703703702</v>
      </c>
      <c r="C281" s="8">
        <v>0.66081018518518519</v>
      </c>
      <c r="D281" s="8">
        <v>0.66219907407407408</v>
      </c>
      <c r="E281" s="8">
        <f t="shared" si="18"/>
        <v>3.460648148148171E-3</v>
      </c>
      <c r="F281" s="8">
        <f t="shared" si="19"/>
        <v>1.388888888888884E-3</v>
      </c>
      <c r="I281" s="7">
        <v>55</v>
      </c>
      <c r="J281" s="8">
        <v>0.6658101851851852</v>
      </c>
      <c r="K281" s="8">
        <v>0.66716435185185186</v>
      </c>
      <c r="L281" s="8">
        <v>0.66790509259259256</v>
      </c>
      <c r="M281" s="8">
        <f t="shared" si="20"/>
        <v>1.3541666666666563E-3</v>
      </c>
      <c r="N281" s="8">
        <f t="shared" si="21"/>
        <v>7.407407407407085E-4</v>
      </c>
      <c r="O281" t="s">
        <v>15</v>
      </c>
    </row>
    <row r="282" spans="1:15" x14ac:dyDescent="0.45">
      <c r="A282" s="7">
        <v>56</v>
      </c>
      <c r="B282" s="8">
        <v>0.65883101851851855</v>
      </c>
      <c r="C282" s="8">
        <v>0.66219907407407408</v>
      </c>
      <c r="D282" s="8">
        <v>0.66351851851851851</v>
      </c>
      <c r="E282" s="8">
        <f t="shared" si="18"/>
        <v>3.3680555555555269E-3</v>
      </c>
      <c r="F282" s="8">
        <f t="shared" si="19"/>
        <v>1.3194444444444287E-3</v>
      </c>
      <c r="I282" s="7">
        <v>56</v>
      </c>
      <c r="J282" s="8">
        <v>0.66667824074074078</v>
      </c>
      <c r="K282" s="8">
        <v>0.66792824074074075</v>
      </c>
      <c r="L282" s="8">
        <v>0.66863425925925923</v>
      </c>
      <c r="M282" s="8">
        <f t="shared" si="20"/>
        <v>1.2499999999999734E-3</v>
      </c>
      <c r="N282" s="8">
        <f t="shared" si="21"/>
        <v>7.0601851851848085E-4</v>
      </c>
    </row>
    <row r="283" spans="1:15" x14ac:dyDescent="0.45">
      <c r="A283" s="7">
        <v>57</v>
      </c>
      <c r="B283" s="8">
        <v>0.6597453703703704</v>
      </c>
      <c r="C283" s="8">
        <v>0.66351851851851851</v>
      </c>
      <c r="D283" s="8">
        <v>0.66497685185185185</v>
      </c>
      <c r="E283" s="8">
        <f t="shared" si="18"/>
        <v>3.7731481481481088E-3</v>
      </c>
      <c r="F283" s="8">
        <f t="shared" si="19"/>
        <v>1.4583333333333393E-3</v>
      </c>
      <c r="I283" s="7">
        <v>57</v>
      </c>
      <c r="J283" s="8">
        <v>0.66840277777777779</v>
      </c>
      <c r="K283" s="8">
        <v>0.66888888888888887</v>
      </c>
      <c r="L283" s="8">
        <v>0.66925925925925922</v>
      </c>
      <c r="M283" s="8">
        <f t="shared" si="20"/>
        <v>4.8611111111107608E-4</v>
      </c>
      <c r="N283" s="8">
        <f t="shared" si="21"/>
        <v>3.7037037037035425E-4</v>
      </c>
    </row>
    <row r="284" spans="1:15" x14ac:dyDescent="0.45">
      <c r="A284" s="7">
        <v>58</v>
      </c>
      <c r="B284" s="8">
        <v>0.66150462962962964</v>
      </c>
      <c r="C284" s="8">
        <v>0.66497685185185185</v>
      </c>
      <c r="D284" s="8">
        <v>0.66571759259259256</v>
      </c>
      <c r="E284" s="8">
        <f t="shared" si="18"/>
        <v>3.4722222222222099E-3</v>
      </c>
      <c r="F284" s="8">
        <f t="shared" si="19"/>
        <v>7.407407407407085E-4</v>
      </c>
      <c r="G284" t="s">
        <v>13</v>
      </c>
      <c r="I284" s="7">
        <v>58</v>
      </c>
      <c r="J284" s="8">
        <v>0.66851851851851851</v>
      </c>
      <c r="K284" s="8">
        <v>0.66938657407407409</v>
      </c>
      <c r="L284" s="8">
        <v>0.67</v>
      </c>
      <c r="M284" s="8">
        <f t="shared" si="20"/>
        <v>8.6805555555558023E-4</v>
      </c>
      <c r="N284" s="8">
        <f t="shared" si="21"/>
        <v>6.134259259259478E-4</v>
      </c>
    </row>
    <row r="285" spans="1:15" x14ac:dyDescent="0.45">
      <c r="A285" s="7">
        <v>59</v>
      </c>
      <c r="B285" s="8">
        <v>0.66158564814814813</v>
      </c>
      <c r="C285" s="8">
        <v>0.66571759259259256</v>
      </c>
      <c r="D285" s="8">
        <v>0.66628472222222224</v>
      </c>
      <c r="E285" s="8">
        <f t="shared" si="18"/>
        <v>4.1319444444444242E-3</v>
      </c>
      <c r="F285" s="8">
        <f t="shared" si="19"/>
        <v>5.6712962962968128E-4</v>
      </c>
      <c r="I285" s="7">
        <v>59</v>
      </c>
      <c r="J285" s="8">
        <v>0.67056712962962961</v>
      </c>
      <c r="K285" s="8">
        <v>0.67178240740740736</v>
      </c>
      <c r="L285" s="8">
        <v>0.67267361111111112</v>
      </c>
      <c r="M285" s="8">
        <f t="shared" si="20"/>
        <v>1.2152777777777457E-3</v>
      </c>
      <c r="N285" s="8">
        <f t="shared" si="21"/>
        <v>8.91203703703769E-4</v>
      </c>
    </row>
    <row r="286" spans="1:15" x14ac:dyDescent="0.45">
      <c r="A286" s="7">
        <v>60</v>
      </c>
      <c r="B286" s="8">
        <v>0.66182870370370372</v>
      </c>
      <c r="C286" s="8">
        <v>0.66628472222222224</v>
      </c>
      <c r="D286" s="8">
        <v>0.66715277777777782</v>
      </c>
      <c r="E286" s="8">
        <f t="shared" si="18"/>
        <v>4.4560185185185119E-3</v>
      </c>
      <c r="F286" s="8">
        <f t="shared" si="19"/>
        <v>8.6805555555558023E-4</v>
      </c>
      <c r="I286" s="7">
        <v>60</v>
      </c>
      <c r="J286" s="8">
        <v>0.671875</v>
      </c>
      <c r="K286" s="8">
        <v>0.67269675925925931</v>
      </c>
      <c r="L286" s="8">
        <v>0.67369212962962965</v>
      </c>
      <c r="M286" s="8">
        <f t="shared" si="20"/>
        <v>8.217592592593137E-4</v>
      </c>
      <c r="N286" s="8">
        <f t="shared" si="21"/>
        <v>9.9537037037034093E-4</v>
      </c>
      <c r="O286" t="s">
        <v>29</v>
      </c>
    </row>
    <row r="287" spans="1:15" x14ac:dyDescent="0.45">
      <c r="A287" s="7">
        <v>61</v>
      </c>
      <c r="B287" s="8">
        <v>0.66234953703703703</v>
      </c>
      <c r="C287" s="8">
        <v>0.66715277777777782</v>
      </c>
      <c r="D287" s="8">
        <v>0.66752314814814817</v>
      </c>
      <c r="E287" s="8">
        <f t="shared" si="18"/>
        <v>4.8032407407407884E-3</v>
      </c>
      <c r="F287" s="8">
        <f t="shared" si="19"/>
        <v>3.7037037037035425E-4</v>
      </c>
      <c r="I287" s="7">
        <v>61</v>
      </c>
      <c r="J287" s="8">
        <v>0.67200231481481476</v>
      </c>
      <c r="K287" s="8">
        <v>0.67381944444444442</v>
      </c>
      <c r="L287" s="8">
        <v>0.67429398148148145</v>
      </c>
      <c r="M287" s="8">
        <f t="shared" si="20"/>
        <v>1.8171296296296546E-3</v>
      </c>
      <c r="N287" s="8">
        <f t="shared" si="21"/>
        <v>4.745370370370372E-4</v>
      </c>
    </row>
    <row r="288" spans="1:15" x14ac:dyDescent="0.45">
      <c r="A288" s="7">
        <v>62</v>
      </c>
      <c r="B288" s="8">
        <v>0.66265046296296293</v>
      </c>
      <c r="C288" s="8">
        <v>0.66752314814814817</v>
      </c>
      <c r="D288" s="8">
        <v>0.66793981481481479</v>
      </c>
      <c r="E288" s="8">
        <f t="shared" si="18"/>
        <v>4.8726851851852437E-3</v>
      </c>
      <c r="F288" s="8">
        <f t="shared" si="19"/>
        <v>4.1666666666662078E-4</v>
      </c>
      <c r="I288" s="7">
        <v>62</v>
      </c>
      <c r="J288" s="8">
        <v>0.67402777777777778</v>
      </c>
      <c r="K288" s="8">
        <v>0.67437499999999995</v>
      </c>
      <c r="L288" s="8">
        <v>0.67484953703703698</v>
      </c>
      <c r="M288" s="8">
        <f t="shared" si="20"/>
        <v>3.4722222222216548E-4</v>
      </c>
      <c r="N288" s="8">
        <f t="shared" si="21"/>
        <v>4.745370370370372E-4</v>
      </c>
    </row>
    <row r="289" spans="1:15" x14ac:dyDescent="0.45">
      <c r="A289" s="7">
        <v>63</v>
      </c>
      <c r="B289" s="8">
        <v>0.6650462962962963</v>
      </c>
      <c r="C289" s="8">
        <v>0.66793981481481479</v>
      </c>
      <c r="D289" s="8">
        <v>0.66896990740740736</v>
      </c>
      <c r="E289" s="8">
        <f t="shared" si="18"/>
        <v>2.8935185185184897E-3</v>
      </c>
      <c r="F289" s="8">
        <f t="shared" si="19"/>
        <v>1.0300925925925686E-3</v>
      </c>
      <c r="I289" s="7">
        <v>63</v>
      </c>
      <c r="J289" s="8">
        <v>0.67689814814814819</v>
      </c>
      <c r="K289" s="8">
        <v>0.67729166666666663</v>
      </c>
      <c r="L289" s="8">
        <v>0.67744212962962957</v>
      </c>
      <c r="M289" s="8">
        <f t="shared" si="20"/>
        <v>3.93518518518432E-4</v>
      </c>
      <c r="N289" s="8">
        <f t="shared" si="21"/>
        <v>1.5046296296294948E-4</v>
      </c>
    </row>
    <row r="290" spans="1:15" x14ac:dyDescent="0.45">
      <c r="A290" s="7">
        <v>64</v>
      </c>
      <c r="B290" s="8">
        <v>0.66562500000000002</v>
      </c>
      <c r="C290" s="8">
        <v>0.66896990740740736</v>
      </c>
      <c r="D290" s="8">
        <v>0.67040509259259262</v>
      </c>
      <c r="E290" s="8">
        <f t="shared" si="18"/>
        <v>3.3449074074073382E-3</v>
      </c>
      <c r="F290" s="8">
        <f t="shared" si="19"/>
        <v>1.4351851851852615E-3</v>
      </c>
      <c r="I290" s="7">
        <v>64</v>
      </c>
      <c r="J290" s="8">
        <v>0.67703703703703699</v>
      </c>
      <c r="K290" s="8">
        <v>0.67746527777777776</v>
      </c>
      <c r="L290" s="8">
        <v>0.6782407407407407</v>
      </c>
      <c r="M290" s="8">
        <f t="shared" si="20"/>
        <v>4.2824074074077068E-4</v>
      </c>
      <c r="N290" s="8">
        <f t="shared" si="21"/>
        <v>7.7546296296293615E-4</v>
      </c>
    </row>
    <row r="291" spans="1:15" x14ac:dyDescent="0.45">
      <c r="A291" s="7">
        <v>65</v>
      </c>
      <c r="B291" s="8">
        <v>0.66689814814814818</v>
      </c>
      <c r="C291" s="8">
        <v>0.67040509259259262</v>
      </c>
      <c r="D291" s="8">
        <v>0.67076388888888894</v>
      </c>
      <c r="E291" s="8">
        <f t="shared" si="18"/>
        <v>3.5069444444444375E-3</v>
      </c>
      <c r="F291" s="8">
        <f t="shared" si="19"/>
        <v>3.5879629629631538E-4</v>
      </c>
      <c r="I291" s="7">
        <v>65</v>
      </c>
      <c r="J291" s="8">
        <v>0.67754629629629626</v>
      </c>
      <c r="K291" s="8">
        <v>0.67834490740740738</v>
      </c>
      <c r="L291" s="8">
        <v>0.67891203703703706</v>
      </c>
      <c r="M291" s="8">
        <f t="shared" si="20"/>
        <v>7.9861111111112493E-4</v>
      </c>
      <c r="N291" s="8">
        <f t="shared" si="21"/>
        <v>5.6712962962968128E-4</v>
      </c>
    </row>
    <row r="292" spans="1:15" x14ac:dyDescent="0.45">
      <c r="A292" s="7">
        <v>66</v>
      </c>
      <c r="B292" s="8">
        <v>0.66921296296296295</v>
      </c>
      <c r="C292" s="8">
        <v>0.67076388888888894</v>
      </c>
      <c r="D292" s="8">
        <v>0.67150462962962965</v>
      </c>
      <c r="E292" s="8">
        <f t="shared" ref="E292:E311" si="22">$C292-$B292</f>
        <v>1.5509259259259833E-3</v>
      </c>
      <c r="F292" s="8">
        <f t="shared" ref="F292:F311" si="23">$D292-$C292</f>
        <v>7.407407407407085E-4</v>
      </c>
      <c r="I292" s="7">
        <v>66</v>
      </c>
      <c r="J292" s="8">
        <v>0.67806712962962967</v>
      </c>
      <c r="K292" s="8">
        <v>0.67893518518518514</v>
      </c>
      <c r="L292" s="8">
        <v>0.67898148148148152</v>
      </c>
      <c r="M292" s="8">
        <f t="shared" ref="M292:M302" si="24">$K292-$J292</f>
        <v>8.680555555554692E-4</v>
      </c>
      <c r="N292" s="8">
        <f t="shared" ref="N292:N302" si="25">$L292-$K292</f>
        <v>4.6296296296377548E-5</v>
      </c>
    </row>
    <row r="293" spans="1:15" x14ac:dyDescent="0.45">
      <c r="A293" s="7">
        <v>67</v>
      </c>
      <c r="B293" s="8">
        <v>0.67038194444444443</v>
      </c>
      <c r="C293" s="8">
        <v>0.67150462962962965</v>
      </c>
      <c r="D293" s="8">
        <v>0.67214120370370367</v>
      </c>
      <c r="E293" s="8">
        <f t="shared" si="22"/>
        <v>1.1226851851852127E-3</v>
      </c>
      <c r="F293" s="8">
        <f t="shared" si="23"/>
        <v>6.3657407407402555E-4</v>
      </c>
      <c r="I293" s="7">
        <v>67</v>
      </c>
      <c r="J293" s="8">
        <v>0.67848379629629629</v>
      </c>
      <c r="K293" s="8">
        <v>0.67907407407407405</v>
      </c>
      <c r="L293" s="8">
        <v>0.680150462962963</v>
      </c>
      <c r="M293" s="8">
        <f t="shared" si="24"/>
        <v>5.9027777777775903E-4</v>
      </c>
      <c r="N293" s="8">
        <f t="shared" si="25"/>
        <v>1.0763888888889461E-3</v>
      </c>
    </row>
    <row r="294" spans="1:15" x14ac:dyDescent="0.45">
      <c r="A294" s="7">
        <v>68</v>
      </c>
      <c r="B294" s="8">
        <v>0.67079861111111116</v>
      </c>
      <c r="C294" s="8">
        <v>0.67214120370370367</v>
      </c>
      <c r="D294" s="8">
        <v>0.67284722222222226</v>
      </c>
      <c r="E294" s="8">
        <f t="shared" si="22"/>
        <v>1.3425925925925064E-3</v>
      </c>
      <c r="F294" s="8">
        <f t="shared" si="23"/>
        <v>7.0601851851859188E-4</v>
      </c>
      <c r="I294" s="7">
        <v>68</v>
      </c>
      <c r="J294" s="8">
        <v>0.67954861111111109</v>
      </c>
      <c r="K294" s="8">
        <v>0.68026620370370372</v>
      </c>
      <c r="L294" s="8">
        <v>0.68101851851851847</v>
      </c>
      <c r="M294" s="8">
        <f t="shared" si="24"/>
        <v>7.1759259259263075E-4</v>
      </c>
      <c r="N294" s="8">
        <f t="shared" si="25"/>
        <v>7.5231481481474738E-4</v>
      </c>
    </row>
    <row r="295" spans="1:15" x14ac:dyDescent="0.45">
      <c r="A295" s="7">
        <v>69</v>
      </c>
      <c r="B295" s="8">
        <v>0.67164351851851856</v>
      </c>
      <c r="C295" s="8">
        <v>0.67284722222222226</v>
      </c>
      <c r="D295" s="8">
        <v>0.67454861111111108</v>
      </c>
      <c r="E295" s="8">
        <f t="shared" si="22"/>
        <v>1.2037037037037068E-3</v>
      </c>
      <c r="F295" s="8">
        <f t="shared" si="23"/>
        <v>1.7013888888888218E-3</v>
      </c>
      <c r="G295" t="s">
        <v>13</v>
      </c>
      <c r="I295" s="7">
        <v>69</v>
      </c>
      <c r="J295" s="8">
        <v>0.68033564814814818</v>
      </c>
      <c r="K295" s="8">
        <v>0.68106481481481485</v>
      </c>
      <c r="L295" s="8">
        <v>0.68212962962962964</v>
      </c>
      <c r="M295" s="8">
        <f t="shared" si="24"/>
        <v>7.2916666666666963E-4</v>
      </c>
      <c r="N295" s="8">
        <f t="shared" si="25"/>
        <v>1.0648148148147962E-3</v>
      </c>
      <c r="O295" t="s">
        <v>0</v>
      </c>
    </row>
    <row r="296" spans="1:15" x14ac:dyDescent="0.45">
      <c r="A296" s="7">
        <v>70</v>
      </c>
      <c r="B296" s="8">
        <v>0.67207175925925922</v>
      </c>
      <c r="C296" s="8">
        <v>0.67454861111111108</v>
      </c>
      <c r="D296" s="8">
        <v>0.67487268518518517</v>
      </c>
      <c r="E296" s="8">
        <f t="shared" si="22"/>
        <v>2.476851851851869E-3</v>
      </c>
      <c r="F296" s="8">
        <f t="shared" si="23"/>
        <v>3.2407407407408773E-4</v>
      </c>
      <c r="I296" s="7">
        <v>70</v>
      </c>
      <c r="J296" s="8">
        <v>0.68131944444444448</v>
      </c>
      <c r="K296" s="8">
        <v>0.68218749999999995</v>
      </c>
      <c r="L296" s="8">
        <v>0.68240740740740746</v>
      </c>
      <c r="M296" s="8">
        <f t="shared" si="24"/>
        <v>8.680555555554692E-4</v>
      </c>
      <c r="N296" s="8">
        <f t="shared" si="25"/>
        <v>2.199074074075158E-4</v>
      </c>
      <c r="O296" t="s">
        <v>0</v>
      </c>
    </row>
    <row r="297" spans="1:15" x14ac:dyDescent="0.45">
      <c r="A297" s="7">
        <v>71</v>
      </c>
      <c r="B297" s="8">
        <v>0.67473379629629626</v>
      </c>
      <c r="C297" s="8">
        <v>0.67487268518518517</v>
      </c>
      <c r="D297" s="8">
        <v>0.6759722222222222</v>
      </c>
      <c r="E297" s="8">
        <f t="shared" si="22"/>
        <v>1.388888888889106E-4</v>
      </c>
      <c r="F297" s="8">
        <f t="shared" si="23"/>
        <v>1.0995370370370239E-3</v>
      </c>
      <c r="I297" s="7">
        <v>71</v>
      </c>
      <c r="J297" s="8">
        <v>0.68178240740740736</v>
      </c>
      <c r="K297" s="8">
        <v>0.68261574074074072</v>
      </c>
      <c r="L297" s="8">
        <v>0.68347222222222226</v>
      </c>
      <c r="M297" s="8">
        <f t="shared" si="24"/>
        <v>8.3333333333335258E-4</v>
      </c>
      <c r="N297" s="8">
        <f t="shared" si="25"/>
        <v>8.5648148148154135E-4</v>
      </c>
    </row>
    <row r="298" spans="1:15" x14ac:dyDescent="0.45">
      <c r="A298" s="7">
        <v>72</v>
      </c>
      <c r="B298" s="8">
        <v>0.67666666666666664</v>
      </c>
      <c r="C298" s="8">
        <v>0.67666666666666664</v>
      </c>
      <c r="D298" s="8">
        <v>0.67721064814814813</v>
      </c>
      <c r="E298" s="8">
        <f t="shared" si="22"/>
        <v>0</v>
      </c>
      <c r="F298" s="8">
        <f t="shared" si="23"/>
        <v>5.439814814814925E-4</v>
      </c>
      <c r="I298" s="7">
        <v>72</v>
      </c>
      <c r="J298" s="8">
        <v>0.68265046296296295</v>
      </c>
      <c r="K298" s="8">
        <v>0.68363425925925925</v>
      </c>
      <c r="L298" s="8">
        <v>0.68444444444444441</v>
      </c>
      <c r="M298" s="8">
        <f t="shared" si="24"/>
        <v>9.8379629629630205E-4</v>
      </c>
      <c r="N298" s="8">
        <f t="shared" si="25"/>
        <v>8.101851851851638E-4</v>
      </c>
    </row>
    <row r="299" spans="1:15" x14ac:dyDescent="0.45">
      <c r="A299" s="7">
        <v>73</v>
      </c>
      <c r="B299" s="8">
        <v>0.67723379629629632</v>
      </c>
      <c r="C299" s="8">
        <v>0.67723379629629632</v>
      </c>
      <c r="D299" s="8">
        <v>0.67857638888888894</v>
      </c>
      <c r="E299" s="8">
        <f t="shared" si="22"/>
        <v>0</v>
      </c>
      <c r="F299" s="8">
        <f t="shared" si="23"/>
        <v>1.3425925925926174E-3</v>
      </c>
      <c r="G299" t="s">
        <v>13</v>
      </c>
      <c r="I299" s="7">
        <v>73</v>
      </c>
      <c r="J299" s="8">
        <v>0.68395833333333333</v>
      </c>
      <c r="K299" s="8">
        <v>0.68473379629629627</v>
      </c>
      <c r="L299" s="8">
        <v>0.68517361111111108</v>
      </c>
      <c r="M299" s="8">
        <f t="shared" si="24"/>
        <v>7.7546296296293615E-4</v>
      </c>
      <c r="N299" s="8">
        <f t="shared" si="25"/>
        <v>4.3981481481480955E-4</v>
      </c>
    </row>
    <row r="300" spans="1:15" x14ac:dyDescent="0.45">
      <c r="A300" s="7">
        <v>74</v>
      </c>
      <c r="B300" s="8">
        <v>0.67775462962962962</v>
      </c>
      <c r="C300" s="8">
        <v>0.67857638888888894</v>
      </c>
      <c r="D300" s="8">
        <v>0.67929398148148146</v>
      </c>
      <c r="E300" s="8">
        <f t="shared" si="22"/>
        <v>8.217592592593137E-4</v>
      </c>
      <c r="F300" s="8">
        <f t="shared" si="23"/>
        <v>7.1759259259251973E-4</v>
      </c>
      <c r="I300" s="7">
        <v>74</v>
      </c>
      <c r="J300" s="8">
        <v>0.68410879629629628</v>
      </c>
      <c r="K300" s="8">
        <v>0.68521990740740746</v>
      </c>
      <c r="L300" s="8">
        <v>0.6856944444444445</v>
      </c>
      <c r="M300" s="8">
        <f t="shared" si="24"/>
        <v>1.1111111111111738E-3</v>
      </c>
      <c r="N300" s="8">
        <f t="shared" si="25"/>
        <v>4.745370370370372E-4</v>
      </c>
    </row>
    <row r="301" spans="1:15" x14ac:dyDescent="0.45">
      <c r="A301" s="7">
        <v>75</v>
      </c>
      <c r="B301" s="8">
        <v>0.67812499999999998</v>
      </c>
      <c r="C301" s="8">
        <v>0.67929398148148146</v>
      </c>
      <c r="D301" s="8">
        <v>0.68027777777777776</v>
      </c>
      <c r="E301" s="8">
        <f t="shared" si="22"/>
        <v>1.1689814814814792E-3</v>
      </c>
      <c r="F301" s="8">
        <f t="shared" si="23"/>
        <v>9.8379629629630205E-4</v>
      </c>
      <c r="I301" s="7">
        <v>75</v>
      </c>
      <c r="J301" s="8">
        <v>0.68629629629629629</v>
      </c>
      <c r="K301" s="8">
        <v>0.68629629629629629</v>
      </c>
      <c r="L301" s="8">
        <v>0.68674768518518514</v>
      </c>
      <c r="M301" s="8">
        <f t="shared" si="24"/>
        <v>0</v>
      </c>
      <c r="N301" s="8">
        <f t="shared" si="25"/>
        <v>4.5138888888884843E-4</v>
      </c>
    </row>
    <row r="302" spans="1:15" x14ac:dyDescent="0.45">
      <c r="A302" s="7">
        <v>76</v>
      </c>
      <c r="B302" s="8">
        <v>0.67879629629629634</v>
      </c>
      <c r="C302" s="8">
        <v>0.68027777777777776</v>
      </c>
      <c r="D302" s="8">
        <v>0.68086805555555552</v>
      </c>
      <c r="E302" s="8">
        <f t="shared" si="22"/>
        <v>1.481481481481417E-3</v>
      </c>
      <c r="F302" s="8">
        <f t="shared" si="23"/>
        <v>5.9027777777775903E-4</v>
      </c>
      <c r="I302" s="7">
        <v>76</v>
      </c>
      <c r="J302" s="8">
        <v>0.68658564814814815</v>
      </c>
      <c r="K302" s="8">
        <v>0.68679398148148152</v>
      </c>
      <c r="L302" s="8">
        <v>0.6877199074074074</v>
      </c>
      <c r="M302" s="8">
        <f t="shared" si="24"/>
        <v>2.083333333333659E-4</v>
      </c>
      <c r="N302" s="8">
        <f t="shared" si="25"/>
        <v>9.2592592592588563E-4</v>
      </c>
    </row>
    <row r="303" spans="1:15" x14ac:dyDescent="0.45">
      <c r="A303" s="7">
        <v>77</v>
      </c>
      <c r="B303" s="8">
        <v>0.67966435185185181</v>
      </c>
      <c r="C303" s="8">
        <v>0.68086805555555552</v>
      </c>
      <c r="D303" s="8">
        <v>0.68155092592592592</v>
      </c>
      <c r="E303" s="8">
        <f t="shared" si="22"/>
        <v>1.2037037037037068E-3</v>
      </c>
      <c r="F303" s="8">
        <f t="shared" si="23"/>
        <v>6.828703703704031E-4</v>
      </c>
      <c r="J303" s="8"/>
      <c r="K303" s="8"/>
      <c r="L303" s="8"/>
    </row>
    <row r="304" spans="1:15" x14ac:dyDescent="0.45">
      <c r="A304" s="7">
        <v>78</v>
      </c>
      <c r="B304" s="8">
        <v>0.68087962962962967</v>
      </c>
      <c r="C304" s="8">
        <v>0.68155092592592592</v>
      </c>
      <c r="D304" s="8">
        <v>0.68181712962962959</v>
      </c>
      <c r="E304" s="8">
        <f t="shared" si="22"/>
        <v>6.712962962962532E-4</v>
      </c>
      <c r="F304" s="8">
        <f t="shared" si="23"/>
        <v>2.662037037036713E-4</v>
      </c>
    </row>
    <row r="305" spans="1:7" x14ac:dyDescent="0.45">
      <c r="A305" s="7">
        <v>79</v>
      </c>
      <c r="B305" s="8">
        <v>0.68120370370370376</v>
      </c>
      <c r="C305" s="8">
        <v>0.68193287037037043</v>
      </c>
      <c r="D305" s="8">
        <v>0.68252314814814818</v>
      </c>
      <c r="E305" s="8">
        <f t="shared" si="22"/>
        <v>7.2916666666666963E-4</v>
      </c>
      <c r="F305" s="8">
        <f t="shared" si="23"/>
        <v>5.9027777777775903E-4</v>
      </c>
    </row>
    <row r="306" spans="1:7" x14ac:dyDescent="0.45">
      <c r="A306" s="7">
        <v>80</v>
      </c>
      <c r="B306" s="8">
        <v>0.68197916666666669</v>
      </c>
      <c r="C306" s="8">
        <v>0.68252314814814818</v>
      </c>
      <c r="D306" s="8">
        <v>0.68280092592592589</v>
      </c>
      <c r="E306" s="8">
        <f t="shared" si="22"/>
        <v>5.439814814814925E-4</v>
      </c>
      <c r="F306" s="8">
        <f t="shared" si="23"/>
        <v>2.7777777777771018E-4</v>
      </c>
    </row>
    <row r="307" spans="1:7" x14ac:dyDescent="0.45">
      <c r="A307" s="7">
        <v>81</v>
      </c>
      <c r="B307" s="8">
        <v>0.68210648148148145</v>
      </c>
      <c r="C307" s="8">
        <v>0.68280092592592589</v>
      </c>
      <c r="D307" s="8">
        <v>0.68322916666666667</v>
      </c>
      <c r="E307" s="8">
        <f t="shared" si="22"/>
        <v>6.9444444444444198E-4</v>
      </c>
      <c r="F307" s="8">
        <f t="shared" si="23"/>
        <v>4.2824074074077068E-4</v>
      </c>
    </row>
    <row r="308" spans="1:7" x14ac:dyDescent="0.45">
      <c r="A308" s="7">
        <v>82</v>
      </c>
      <c r="B308" s="8">
        <v>0.6822569444444444</v>
      </c>
      <c r="C308" s="8">
        <v>0.68322916666666667</v>
      </c>
      <c r="D308" s="8">
        <v>0.68350694444444449</v>
      </c>
      <c r="E308" s="8">
        <f t="shared" si="22"/>
        <v>9.7222222222226318E-4</v>
      </c>
      <c r="F308" s="8">
        <f t="shared" si="23"/>
        <v>2.777777777778212E-4</v>
      </c>
    </row>
    <row r="309" spans="1:7" x14ac:dyDescent="0.45">
      <c r="A309" s="7">
        <v>83</v>
      </c>
      <c r="B309" s="8">
        <v>0.68425925925925923</v>
      </c>
      <c r="C309" s="8">
        <v>0.68425925925925923</v>
      </c>
      <c r="D309" s="8">
        <v>0.68504629629629632</v>
      </c>
      <c r="E309" s="8">
        <f t="shared" si="22"/>
        <v>0</v>
      </c>
      <c r="F309" s="8">
        <f t="shared" si="23"/>
        <v>7.8703703703708605E-4</v>
      </c>
      <c r="G309" t="s">
        <v>13</v>
      </c>
    </row>
    <row r="310" spans="1:7" x14ac:dyDescent="0.45">
      <c r="A310" s="7">
        <v>84</v>
      </c>
      <c r="B310" s="8">
        <v>0.68648148148148147</v>
      </c>
      <c r="C310" s="8">
        <v>0.68648148148148147</v>
      </c>
      <c r="D310" s="8">
        <v>0.68709490740740742</v>
      </c>
      <c r="E310" s="8">
        <f t="shared" si="22"/>
        <v>0</v>
      </c>
      <c r="F310" s="8">
        <f t="shared" si="23"/>
        <v>6.134259259259478E-4</v>
      </c>
    </row>
    <row r="311" spans="1:7" x14ac:dyDescent="0.45">
      <c r="A311" s="7">
        <v>85</v>
      </c>
      <c r="B311" s="8">
        <v>0.68678240740740737</v>
      </c>
      <c r="C311" s="8">
        <v>0.68709490740740742</v>
      </c>
      <c r="D311" s="8">
        <v>0.68768518518518518</v>
      </c>
      <c r="E311" s="8">
        <f t="shared" si="22"/>
        <v>3.1250000000004885E-4</v>
      </c>
      <c r="F311" s="8">
        <f t="shared" si="23"/>
        <v>5.9027777777775903E-4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rowBreaks count="2" manualBreakCount="2">
    <brk id="67" max="16383" man="1"/>
    <brk id="145" max="16383" man="1"/>
  </rowBreaks>
  <colBreaks count="2" manualBreakCount="2">
    <brk id="7" max="1048575" man="1"/>
    <brk id="16" max="1048575" man="1"/>
  </colBreaks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AB9643-E20A-416D-BCF3-F049B726F9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2403</dc:creator>
  <cp:lastModifiedBy>세준 이</cp:lastModifiedBy>
  <cp:lastPrinted>2025-10-09T05:54:26Z</cp:lastPrinted>
  <dcterms:created xsi:type="dcterms:W3CDTF">2025-10-09T04:20:32Z</dcterms:created>
  <dcterms:modified xsi:type="dcterms:W3CDTF">2025-11-10T05:54:50Z</dcterms:modified>
</cp:coreProperties>
</file>